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6"/>
  </bookViews>
  <sheets>
    <sheet name="Home" sheetId="8" r:id="rId1"/>
    <sheet name="Consolidated Support Stats" sheetId="13" r:id="rId2"/>
    <sheet name="Consolidated Performance Audit" sheetId="14" r:id="rId3"/>
    <sheet name="Atlas" sheetId="83" r:id="rId4"/>
    <sheet name="Transformers" sheetId="82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83" l="1"/>
  <c r="M22" i="83"/>
  <c r="H22" i="83"/>
  <c r="R21" i="83"/>
  <c r="M21" i="83"/>
  <c r="H21" i="83"/>
  <c r="R20" i="83"/>
  <c r="M20" i="83"/>
  <c r="H20" i="83"/>
  <c r="R19" i="83"/>
  <c r="M19" i="83"/>
  <c r="H19" i="83"/>
  <c r="R18" i="83"/>
  <c r="M18" i="83"/>
  <c r="H18" i="83"/>
  <c r="R17" i="83"/>
  <c r="M17" i="83"/>
  <c r="H17" i="83"/>
  <c r="R16" i="83"/>
  <c r="M16" i="83"/>
  <c r="H16" i="83"/>
  <c r="R15" i="83"/>
  <c r="M15" i="83"/>
  <c r="H15" i="83"/>
  <c r="R14" i="83"/>
  <c r="M14" i="83"/>
  <c r="H14" i="83"/>
  <c r="B5" i="83"/>
  <c r="R22" i="13"/>
  <c r="R21" i="13"/>
  <c r="R20" i="13"/>
  <c r="R19" i="13"/>
  <c r="R18" i="13"/>
  <c r="R17" i="13"/>
  <c r="R16" i="13"/>
  <c r="R15" i="13"/>
  <c r="R14" i="13"/>
  <c r="M22" i="13"/>
  <c r="M21" i="13"/>
  <c r="M20" i="13"/>
  <c r="M19" i="13"/>
  <c r="M18" i="13"/>
  <c r="M17" i="13"/>
  <c r="M16" i="13"/>
  <c r="M15" i="13"/>
  <c r="M14" i="13"/>
  <c r="H22" i="13"/>
  <c r="H21" i="13"/>
  <c r="H20" i="13"/>
  <c r="H19" i="13"/>
  <c r="H18" i="13"/>
  <c r="H17" i="13"/>
  <c r="H16" i="13"/>
  <c r="H15" i="13"/>
  <c r="H14" i="13"/>
  <c r="R22" i="82"/>
  <c r="M22" i="82"/>
  <c r="H22" i="82"/>
  <c r="R21" i="82"/>
  <c r="M21" i="82"/>
  <c r="H21" i="82"/>
  <c r="R20" i="82"/>
  <c r="M20" i="82"/>
  <c r="H20" i="82"/>
  <c r="R19" i="82"/>
  <c r="M19" i="82"/>
  <c r="H19" i="82"/>
  <c r="R18" i="82"/>
  <c r="M18" i="82"/>
  <c r="H18" i="82"/>
  <c r="R17" i="82"/>
  <c r="M17" i="82"/>
  <c r="H17" i="82"/>
  <c r="R16" i="82"/>
  <c r="M16" i="82"/>
  <c r="H16" i="82"/>
  <c r="R15" i="82"/>
  <c r="M15" i="82"/>
  <c r="H15" i="82"/>
  <c r="R14" i="82"/>
  <c r="M14" i="82"/>
  <c r="H14" i="82"/>
  <c r="B5" i="82"/>
  <c r="B5" i="13" l="1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<sst xmlns="http://schemas.openxmlformats.org/spreadsheetml/2006/main" count="13152" uniqueCount="1197">
  <si>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</si>
  <si>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</si>
  <si>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</si>
  <si>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</si>
  <si>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</si>
  <si>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</si>
  <si>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</si>
  <si>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</si>
  <si>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</si>
  <si>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</si>
  <si>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</si>
  <si>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</si>
  <si>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</si>
  <si>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</si>
  <si>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</si>
  <si>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</si>
  <si>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</si>
  <si>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</si>
  <si>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</si>
  <si>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</si>
  <si>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</si>
  <si>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</si>
  <si>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</si>
  <si>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</si>
  <si>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</si>
  <si>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</si>
  <si>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</si>
  <si>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</si>
  <si>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</si>
  <si>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</si>
  <si>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</si>
  <si>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</si>
  <si>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</si>
  <si>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</si>
  <si>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</si>
  <si>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</si>
  <si>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</si>
  <si>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</si>
  <si>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</si>
  <si>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</si>
  <si>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</si>
  <si>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</si>
  <si>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</si>
  <si>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</si>
  <si>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</si>
  <si>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</si>
  <si>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</si>
  <si>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</si>
  <si>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</si>
  <si>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</si>
  <si>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</si>
  <si>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</si>
  <si>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</si>
  <si>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</si>
  <si>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</si>
  <si>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</si>
  <si>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</si>
  <si>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</si>
  <si>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</si>
  <si>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</si>
  <si>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</si>
  <si>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</si>
  <si>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</si>
  <si>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</si>
  <si>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</si>
  <si>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</si>
  <si>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</si>
  <si>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</si>
  <si>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</si>
  <si>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</si>
  <si>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</si>
  <si>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</si>
  <si>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</si>
  <si>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</si>
  <si>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</si>
  <si>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</si>
  <si>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</si>
  <si>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</si>
  <si>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</si>
  <si>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</si>
  <si>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</si>
  <si>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</si>
  <si>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</si>
  <si>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</si>
  <si>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</si>
  <si>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</si>
  <si>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</si>
  <si>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</si>
  <si>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</si>
  <si>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</si>
  <si>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</si>
  <si>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</si>
  <si>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</si>
  <si>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</si>
  <si>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</si>
  <si>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</si>
  <si>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</si>
  <si>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</si>
  <si>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</si>
  <si>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</si>
  <si>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</si>
  <si>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</si>
  <si>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</si>
  <si>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</si>
  <si>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</si>
  <si>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</si>
  <si>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</si>
  <si>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</si>
  <si>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</si>
  <si>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</si>
  <si>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</si>
  <si>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</si>
  <si>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</si>
  <si>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</si>
  <si>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</si>
  <si>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</si>
  <si>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</si>
  <si>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</si>
  <si>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</si>
  <si>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</si>
  <si>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</si>
  <si>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</si>
  <si>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</si>
  <si>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</si>
  <si>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</si>
  <si>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</si>
  <si>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</si>
  <si>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</si>
  <si>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</si>
  <si>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</si>
  <si>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</si>
  <si>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</si>
  <si>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</si>
  <si>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</si>
  <si>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</si>
  <si>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</si>
  <si>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</si>
  <si>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</si>
  <si>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</si>
  <si>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</si>
  <si>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</si>
  <si>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</si>
  <si>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</si>
  <si>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</si>
  <si>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</si>
  <si>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</si>
  <si>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</si>
  <si>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</si>
  <si>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</si>
  <si>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</si>
  <si>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</si>
  <si>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</si>
  <si>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</si>
  <si>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</si>
  <si>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</si>
  <si>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</si>
  <si>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</si>
  <si>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</si>
  <si>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</si>
  <si>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</si>
  <si>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</si>
  <si>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</si>
  <si>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</si>
  <si>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</si>
  <si>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</si>
  <si>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</si>
  <si>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</si>
  <si>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</si>
  <si>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</si>
  <si>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</si>
  <si>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</si>
  <si>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</si>
  <si>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</si>
  <si>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</si>
  <si>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</si>
  <si>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</si>
  <si>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</si>
  <si>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</si>
  <si>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</si>
  <si>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</si>
  <si>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</si>
  <si>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</si>
  <si>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</si>
  <si>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</si>
  <si>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</si>
  <si>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</si>
  <si>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</si>
  <si>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</si>
  <si>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</si>
  <si>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</si>
  <si>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</si>
  <si>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</si>
  <si>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</si>
  <si>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</si>
  <si>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</si>
  <si>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</si>
  <si>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</si>
  <si>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</si>
  <si>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</si>
  <si>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</si>
  <si>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</si>
  <si>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</si>
  <si>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</si>
  <si>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</si>
  <si>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</si>
  <si>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</si>
  <si>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</si>
  <si>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</si>
  <si>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</si>
  <si>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</si>
  <si>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</si>
  <si>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</si>
  <si>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</si>
  <si>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</si>
  <si>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</si>
  <si>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</si>
  <si>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</si>
  <si>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</si>
  <si>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</si>
  <si>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</si>
  <si>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</si>
  <si>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</si>
  <si>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</si>
  <si>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</si>
  <si>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</si>
  <si>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</si>
  <si>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</si>
  <si>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</si>
  <si>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</si>
  <si>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</si>
  <si>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</si>
  <si>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</si>
  <si>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</si>
  <si>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</si>
  <si>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</si>
  <si>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</si>
  <si>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</si>
  <si>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</si>
  <si>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</si>
  <si>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</si>
  <si>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</si>
  <si>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</si>
  <si>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</si>
  <si>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</si>
  <si>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</si>
  <si>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</si>
  <si>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</si>
  <si>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</si>
  <si>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</si>
  <si>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</si>
  <si>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</si>
  <si>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</si>
  <si>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</si>
  <si>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</si>
  <si>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</si>
  <si>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</si>
  <si>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</si>
  <si>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</si>
  <si>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</si>
  <si>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</si>
  <si>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</si>
  <si>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</si>
  <si>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</si>
  <si>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</si>
  <si>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</si>
  <si>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</si>
  <si>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</si>
  <si>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</si>
  <si>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</si>
  <si>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</si>
  <si>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</si>
  <si>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</si>
  <si>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</si>
  <si>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</si>
  <si>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</si>
  <si>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</si>
  <si>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</si>
  <si>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</si>
  <si>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</si>
  <si>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</si>
  <si>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</si>
  <si>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</si>
  <si>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</si>
  <si>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</si>
  <si>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</si>
  <si>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</si>
  <si>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</si>
  <si>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</si>
  <si>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</si>
  <si>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</si>
  <si>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</si>
  <si>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</si>
  <si>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</si>
  <si>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</si>
  <si>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</si>
  <si>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</si>
  <si>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</si>
  <si>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</si>
  <si>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</si>
  <si>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</si>
  <si>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</si>
  <si>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</si>
  <si>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</si>
  <si>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</si>
  <si>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</si>
  <si>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</si>
  <si>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</si>
  <si>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</si>
  <si>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</si>
  <si>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</si>
  <si>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</si>
  <si>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</si>
  <si>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</si>
  <si>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</si>
  <si>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</si>
  <si>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</si>
  <si>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</si>
  <si>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</si>
  <si>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</si>
  <si>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</si>
  <si>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</si>
  <si>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</si>
  <si>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</si>
  <si>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</si>
  <si>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</si>
  <si>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</si>
  <si>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</si>
  <si>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</si>
  <si>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</si>
  <si>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</si>
  <si>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</si>
  <si>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</si>
  <si>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</si>
  <si>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</si>
  <si>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</si>
  <si>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</si>
  <si>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</si>
  <si>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</si>
  <si>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</si>
  <si>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</si>
  <si>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</si>
  <si>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</si>
  <si>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</si>
  <si>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</si>
  <si>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</si>
  <si>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</si>
  <si>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</si>
  <si>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</si>
  <si>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</si>
  <si>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</si>
  <si>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</si>
  <si>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</si>
  <si>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</si>
  <si>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</si>
  <si>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</si>
  <si>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</si>
  <si>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</si>
  <si>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</si>
  <si>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</si>
  <si>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</si>
  <si>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</si>
  <si>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</si>
  <si>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</si>
  <si>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</si>
  <si>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</si>
  <si>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</si>
  <si>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</si>
  <si>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</si>
  <si>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</si>
  <si>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</si>
  <si>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</si>
  <si>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</si>
  <si>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</si>
  <si>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</si>
  <si>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</si>
  <si>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</si>
  <si>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</si>
  <si>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</si>
  <si>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</si>
  <si>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</si>
  <si>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</si>
  <si>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</si>
  <si>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</si>
  <si>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</si>
  <si>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</si>
  <si>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</si>
  <si>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</si>
  <si>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</si>
  <si>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</si>
  <si>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</si>
  <si>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</si>
  <si>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</si>
  <si>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</si>
  <si>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</si>
  <si>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</si>
  <si>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</si>
  <si>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</si>
  <si>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</si>
  <si>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</si>
  <si>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</si>
  <si>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</si>
  <si>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</si>
  <si>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</si>
  <si>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</si>
  <si>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</si>
  <si>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</si>
  <si>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</si>
  <si>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</si>
  <si>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</si>
  <si>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</si>
  <si>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</si>
  <si>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</si>
  <si>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</si>
  <si>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</si>
  <si>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</si>
  <si>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</si>
  <si>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</si>
  <si>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</si>
  <si>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</si>
  <si>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</si>
  <si>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</si>
  <si>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</si>
  <si>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</si>
  <si>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</si>
  <si>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</si>
  <si>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</si>
  <si>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</si>
  <si>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</si>
  <si>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</si>
  <si>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</si>
  <si>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</si>
  <si>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</si>
  <si>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</si>
  <si>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</si>
  <si>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</si>
  <si>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</si>
  <si>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</si>
  <si>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</si>
  <si>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</si>
  <si>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</si>
  <si>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</si>
  <si>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</si>
  <si>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</si>
  <si>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</si>
  <si>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</si>
  <si>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</si>
  <si>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</si>
  <si>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</si>
  <si>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</si>
  <si>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</si>
  <si>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</si>
  <si>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</si>
  <si>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</si>
  <si>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</si>
  <si>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</si>
  <si>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</si>
  <si>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</si>
  <si>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</si>
  <si>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</si>
  <si>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</si>
  <si>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</si>
  <si>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</si>
  <si>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</si>
  <si>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</si>
  <si>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</si>
  <si>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</si>
  <si>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</si>
  <si>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</si>
  <si>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</si>
  <si>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</si>
  <si>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</si>
  <si>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</si>
  <si>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</si>
  <si>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</si>
  <si>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</si>
  <si>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</si>
  <si>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</si>
  <si>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</si>
  <si>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</si>
  <si>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</si>
  <si>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</si>
  <si>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</si>
  <si>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</si>
  <si>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</si>
  <si>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</si>
  <si>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</si>
  <si>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</si>
  <si>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</si>
  <si>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</si>
  <si>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</si>
  <si>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</si>
  <si>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</si>
  <si>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</si>
  <si>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</si>
  <si>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</si>
  <si>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</si>
  <si>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</si>
  <si>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</si>
  <si>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</si>
  <si>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</si>
  <si>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</si>
  <si>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</si>
  <si>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</si>
  <si>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</si>
  <si>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</si>
  <si>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</si>
  <si>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</si>
  <si>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</si>
  <si>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</si>
  <si>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</si>
  <si>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</si>
  <si>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</si>
  <si>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</si>
  <si>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</si>
  <si>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</si>
  <si>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</si>
  <si>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</si>
  <si>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</si>
  <si>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</si>
  <si>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</si>
  <si>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</si>
  <si>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</si>
  <si>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</si>
  <si>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</si>
  <si>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</si>
  <si>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</si>
  <si>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</si>
  <si>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</si>
  <si>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</si>
  <si>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</si>
  <si>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</si>
  <si>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</si>
  <si>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</si>
  <si>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</si>
  <si>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</si>
  <si>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</si>
  <si>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</si>
  <si>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</si>
  <si>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</si>
  <si>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</si>
  <si>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</si>
  <si>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</si>
  <si>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</si>
  <si>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</si>
  <si>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</si>
  <si>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</si>
  <si>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</si>
  <si>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</si>
  <si>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</si>
  <si>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</si>
  <si>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</si>
  <si>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</si>
  <si>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</si>
  <si>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</si>
  <si>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</si>
  <si>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</si>
  <si>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</si>
  <si>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</si>
  <si>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</si>
  <si>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</si>
  <si>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</si>
  <si>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</si>
  <si>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</si>
  <si>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</si>
  <si>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</si>
  <si>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</si>
  <si>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</si>
  <si>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</si>
  <si>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</si>
  <si>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</si>
  <si>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</si>
  <si>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</si>
  <si>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</si>
  <si>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</si>
  <si>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</si>
  <si>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</si>
  <si>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</si>
  <si>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</si>
  <si>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</si>
  <si>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</si>
  <si>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</si>
  <si>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</si>
  <si>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</si>
  <si>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</si>
  <si>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</si>
  <si>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</si>
  <si>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</si>
  <si>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</si>
  <si>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</si>
  <si>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</si>
  <si>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</si>
  <si>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</si>
  <si>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</si>
  <si>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</si>
  <si>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</si>
  <si>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</si>
  <si>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</si>
  <si>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</si>
  <si>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</si>
  <si>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</si>
  <si>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</si>
  <si>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</si>
  <si>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</si>
  <si>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</si>
  <si>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</si>
  <si>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</si>
  <si>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</si>
  <si>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</si>
  <si>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</si>
  <si>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</si>
  <si>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</si>
  <si>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</si>
  <si>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</si>
  <si>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</si>
  <si>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</si>
  <si>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</si>
  <si>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</si>
  <si>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</si>
  <si>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</si>
  <si>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</si>
  <si>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</si>
  <si>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</si>
  <si>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</si>
  <si>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</si>
  <si>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</si>
  <si>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</si>
  <si>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</si>
  <si>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</si>
  <si>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</si>
  <si>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</si>
  <si>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</si>
  <si>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</si>
  <si>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</si>
  <si>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</si>
  <si>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</si>
  <si>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</si>
  <si>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</si>
  <si>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</si>
  <si>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</si>
  <si>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</si>
  <si>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</si>
  <si>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</si>
  <si>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</si>
  <si>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</si>
  <si>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</si>
  <si>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</si>
  <si>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</si>
  <si>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</si>
  <si>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</si>
  <si>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</si>
  <si>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</si>
  <si>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</si>
  <si>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</si>
  <si>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</si>
  <si>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</si>
  <si>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</si>
  <si>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</si>
  <si>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</si>
  <si>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</si>
  <si>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</si>
  <si>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</si>
  <si>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</si>
  <si>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</si>
  <si>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</si>
  <si>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</si>
  <si>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</si>
  <si>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</si>
  <si>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</si>
  <si>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</si>
  <si>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</si>
  <si>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</si>
  <si>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</si>
  <si>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</si>
  <si>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</si>
  <si>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</si>
  <si>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</si>
  <si>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</si>
  <si>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</si>
  <si>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</si>
  <si>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</si>
  <si>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</si>
  <si>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</si>
  <si>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</si>
  <si>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</si>
  <si>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</si>
  <si>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</si>
  <si>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</si>
  <si>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</si>
  <si>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</si>
  <si>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</si>
  <si>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</si>
  <si>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</si>
  <si>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</si>
  <si>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</si>
  <si>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</si>
  <si>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</si>
  <si>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</si>
  <si>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</si>
  <si>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</si>
  <si>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</si>
  <si>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</si>
  <si>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</si>
  <si>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</si>
  <si>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</si>
  <si>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</si>
  <si>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</si>
  <si>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</si>
  <si>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</si>
  <si>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</si>
  <si>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</si>
  <si>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</si>
  <si>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</si>
  <si>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</si>
  <si>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</si>
  <si>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</si>
  <si>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</si>
  <si>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</si>
  <si>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</si>
  <si>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</si>
  <si>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</si>
  <si>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</si>
  <si>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</si>
  <si>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</si>
  <si>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</si>
  <si>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</si>
  <si>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</si>
  <si>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</si>
  <si>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</si>
  <si>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</si>
  <si>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</si>
  <si>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</si>
  <si>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</si>
  <si>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</si>
  <si>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</si>
  <si>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</si>
  <si>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</si>
  <si>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</si>
  <si>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</si>
  <si>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</si>
  <si>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</si>
  <si>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</si>
  <si>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</si>
  <si>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</si>
  <si>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</si>
  <si>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</si>
  <si>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</si>
  <si>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</si>
  <si>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</si>
  <si>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</si>
  <si>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</si>
  <si>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</si>
  <si>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</si>
  <si>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</si>
  <si>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</si>
  <si>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</si>
  <si>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</si>
  <si>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</si>
  <si>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</si>
  <si>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</si>
  <si>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</si>
  <si>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</si>
  <si>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</si>
  <si>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</si>
  <si>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</si>
  <si>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</si>
  <si>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</si>
  <si>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</si>
  <si>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</si>
  <si>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</si>
  <si>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</si>
  <si>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</si>
  <si>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</si>
  <si>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</si>
  <si>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</si>
  <si>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</si>
  <si>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</si>
  <si>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</si>
  <si>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</si>
  <si>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</si>
  <si>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</si>
  <si>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</si>
  <si>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</si>
  <si>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</si>
  <si>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</si>
  <si>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</si>
  <si>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</si>
  <si>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</si>
  <si>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</si>
  <si>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</si>
  <si>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</si>
  <si>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</si>
  <si>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</si>
  <si>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</si>
  <si>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</si>
  <si>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</si>
  <si>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</si>
  <si>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</si>
  <si>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</si>
  <si>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</si>
  <si>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</si>
  <si>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</si>
  <si>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</si>
  <si>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</si>
  <si>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</si>
  <si>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</si>
  <si>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</si>
  <si>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</si>
  <si>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</si>
  <si>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</si>
  <si>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</si>
  <si>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</si>
  <si>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</si>
  <si>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</si>
  <si>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</si>
  <si>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</si>
  <si>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</si>
  <si>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</si>
  <si>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</si>
  <si>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</si>
  <si>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</si>
  <si>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</si>
  <si>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</si>
  <si>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</si>
  <si>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</si>
  <si>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</si>
  <si>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</si>
  <si>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</si>
  <si>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</si>
  <si>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</si>
  <si>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</si>
  <si>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</si>
  <si>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</si>
  <si>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</si>
  <si>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</si>
  <si>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</si>
  <si>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</si>
  <si>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</si>
  <si>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</si>
  <si>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</si>
  <si>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</si>
  <si>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</si>
  <si>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</si>
  <si>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</si>
  <si>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</si>
  <si>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</si>
  <si>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</si>
  <si>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</si>
  <si>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</si>
  <si>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</si>
  <si>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</si>
  <si>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</si>
  <si>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</si>
  <si>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</si>
  <si>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</si>
  <si>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</si>
  <si>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</si>
  <si>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</si>
  <si>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</si>
  <si>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</si>
  <si>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</si>
  <si>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</si>
  <si>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</si>
  <si>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</si>
  <si>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</si>
  <si>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</si>
  <si>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</si>
  <si>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</si>
  <si>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</si>
  <si>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</si>
  <si>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</si>
  <si>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</si>
  <si>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</si>
  <si>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</si>
  <si>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</si>
  <si>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</si>
  <si>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</si>
  <si>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</si>
  <si>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</si>
  <si>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</si>
  <si>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</si>
  <si>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</si>
  <si>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</si>
  <si>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</si>
  <si>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</si>
  <si>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</si>
  <si>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</si>
  <si>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</si>
  <si>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</si>
  <si>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</si>
  <si>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</si>
  <si>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</si>
  <si>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</si>
  <si>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</si>
  <si>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</si>
  <si>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</si>
  <si>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</si>
  <si>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</si>
  <si>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</si>
  <si>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</si>
  <si>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</si>
  <si>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</si>
  <si>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</si>
  <si>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</si>
  <si>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</si>
  <si>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</si>
  <si>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</si>
  <si>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</si>
  <si>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</si>
  <si>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</si>
  <si>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</si>
  <si>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</si>
  <si>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</si>
  <si>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</si>
  <si>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</si>
  <si>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</si>
  <si>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</si>
  <si>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</si>
  <si>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</si>
  <si>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</si>
  <si>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</si>
  <si>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</si>
  <si>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</si>
  <si>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</si>
  <si>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</si>
  <si>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</si>
  <si>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</si>
  <si>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</si>
  <si>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</si>
  <si>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</si>
  <si>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</si>
  <si>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</si>
  <si>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</si>
  <si>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</si>
  <si>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</si>
  <si>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</si>
  <si>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</si>
  <si>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</si>
  <si>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</si>
  <si>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</si>
  <si>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</si>
  <si>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</si>
  <si>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</si>
  <si>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</si>
  <si>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</si>
  <si>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</si>
  <si>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</si>
  <si>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</si>
  <si>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</si>
  <si>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</si>
  <si>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</si>
  <si>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</si>
  <si>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</si>
  <si>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</si>
  <si>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</si>
  <si>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</si>
  <si>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</si>
  <si>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</si>
  <si>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</si>
  <si>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</si>
  <si>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</si>
  <si>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</si>
  <si>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</si>
  <si>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</si>
  <si>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</si>
  <si>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</si>
  <si>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</si>
  <si>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</si>
  <si>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</si>
  <si>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</si>
  <si>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</si>
  <si>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</si>
  <si>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</si>
  <si>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</si>
  <si>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</si>
  <si>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</si>
  <si>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</si>
  <si>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</si>
  <si>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</si>
  <si>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</si>
  <si>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</si>
  <si>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</si>
  <si>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</si>
  <si>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</si>
  <si>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</si>
  <si>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</si>
  <si>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</si>
  <si>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</si>
  <si>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</si>
  <si>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</si>
  <si>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</si>
  <si>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</si>
  <si>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</si>
  <si>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</si>
  <si>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</si>
  <si>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</si>
  <si>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</si>
  <si>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</si>
  <si>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</si>
  <si>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</si>
  <si>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</si>
  <si>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</si>
  <si>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</si>
  <si>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</si>
  <si>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</si>
  <si>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</si>
  <si>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</si>
  <si>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</si>
  <si>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</si>
  <si>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</si>
  <si>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</si>
  <si>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</si>
  <si>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</si>
  <si>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</si>
  <si>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</si>
  <si>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</si>
  <si>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</si>
  <si>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</si>
  <si>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</si>
  <si>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</si>
  <si>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</si>
  <si>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</si>
  <si>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</si>
  <si>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</si>
  <si>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</si>
  <si>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</si>
  <si>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</si>
  <si>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</si>
  <si>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</si>
  <si>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</si>
  <si>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</si>
  <si>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</si>
  <si>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</si>
  <si>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</si>
  <si>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</si>
  <si>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</si>
  <si>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</si>
  <si>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</si>
  <si>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</si>
  <si>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</si>
  <si>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</si>
  <si>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</si>
  <si>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</si>
  <si>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</si>
  <si>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</si>
  <si>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</si>
  <si>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</si>
  <si>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</si>
  <si>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</si>
  <si>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</si>
  <si>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</si>
  <si>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</si>
  <si>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</si>
  <si>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</si>
  <si>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</si>
  <si>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</si>
  <si>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</si>
  <si>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</si>
  <si>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</si>
  <si>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</si>
  <si>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</si>
  <si>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</si>
  <si>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</si>
  <si>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</si>
  <si>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</si>
  <si>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</si>
  <si>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</si>
  <si>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</si>
  <si>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</si>
  <si>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</si>
  <si>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</si>
  <si>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</si>
  <si>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</si>
  <si>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</si>
  <si>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</si>
  <si>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</si>
  <si>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</si>
  <si>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</si>
  <si>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</si>
  <si>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</si>
  <si>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</si>
  <si>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</si>
  <si>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</si>
  <si>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</si>
  <si>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</si>
  <si>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</si>
  <si>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</si>
  <si>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</si>
  <si>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</si>
  <si>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</si>
  <si>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</si>
  <si>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</si>
  <si>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</si>
  <si>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</si>
  <si>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</si>
  <si>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</si>
  <si>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</si>
  <si>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</si>
  <si>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</si>
  <si>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</si>
  <si>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</si>
  <si>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</si>
  <si>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</si>
  <si>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</si>
  <si>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</si>
  <si>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</si>
  <si>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</si>
  <si>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</si>
  <si>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</si>
  <si>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</si>
  <si>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</si>
  <si>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</si>
  <si>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</si>
  <si>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</si>
  <si>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</si>
  <si>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</si>
  <si>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</si>
  <si>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</si>
  <si>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</si>
  <si>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</si>
  <si>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</si>
  <si>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</si>
  <si>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</si>
  <si>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</si>
  <si>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</si>
  <si>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</si>
  <si>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</si>
  <si>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</si>
  <si>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</si>
  <si>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</si>
  <si>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</si>
  <si>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</si>
  <si>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</si>
  <si>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</si>
  <si>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</si>
  <si>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</si>
  <si>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</si>
  <si>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</si>
  <si>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</si>
  <si>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</si>
  <si>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</si>
  <si>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</si>
  <si>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</si>
  <si>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</si>
  <si>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</si>
  <si>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</si>
  <si>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</si>
  <si>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</si>
  <si>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</si>
  <si>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</si>
  <si>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</si>
  <si>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</si>
  <si>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</si>
  <si>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</si>
  <si>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</si>
  <si>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</si>
  <si>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</si>
  <si>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</si>
  <si>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</si>
  <si>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</si>
  <si>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</si>
  <si>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</si>
  <si>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</si>
  <si>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</si>
  <si>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</si>
  <si>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</si>
  <si>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</si>
  <si>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</si>
  <si>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</si>
  <si>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</si>
  <si>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</si>
  <si>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</si>
  <si>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</si>
  <si>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</si>
  <si>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</si>
  <si>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</si>
  <si>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</si>
  <si>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</si>
  <si>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</si>
  <si>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</si>
  <si>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</si>
  <si>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</si>
  <si>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</si>
  <si>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</si>
  <si>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</si>
  <si>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</si>
  <si>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</si>
  <si>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</si>
  <si>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</si>
  <si>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</si>
  <si>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</si>
  <si>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</si>
  <si>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</si>
  <si>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</si>
  <si>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</si>
  <si>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</si>
  <si>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Aging</t>
  </si>
  <si>
    <t>Date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</si>
</sst>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3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14" fontId="0" fillId="0" borderId="0" xfId="0" applyNumberFormat="1"/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G24" sqref="G2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  <c r="J5" s="26" t="s">
        <v>1196</v>
      </c>
      <c r="L5" s="29">
        <v>43100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93"/>
  <sheetViews>
    <sheetView showGridLines="0" topLeftCell="C7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  <col min="26" max="26" width="6.7109375" customWidth="1"/>
  </cols>
  <sheetData>
    <row r="1" spans="1:33" ht="15.75" thickBot="1" x14ac:dyDescent="0.3"/>
    <row r="2" spans="1:33" ht="22.5" customHeight="1" thickBot="1" x14ac:dyDescent="0.3">
      <c r="A2" s="116" t="s">
        <v>1179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  <c r="Z2" s="115"/>
    </row>
    <row r="3" spans="1:33" ht="30" customHeight="1" thickBot="1" x14ac:dyDescent="0.3">
      <c r="A3" s="147" t="s">
        <v>670</v>
      </c>
      <c r="B3" s="147" t="s">
        <v>1178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/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1180</v>
      </c>
      <c r="B5" s="133">
        <f ca="1">TODAY()</f>
        <v>43115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/>
      <c r="T5" s="16"/>
      <c r="U5" s="16"/>
      <c r="V5" s="16"/>
      <c r="W5" s="16"/>
      <c r="X5" s="52"/>
      <c r="Z5" s="46"/>
    </row>
    <row r="6" spans="1:33" ht="47.25" customHeight="1" thickBot="1" x14ac:dyDescent="0.3">
      <c r="A6" s="131"/>
      <c r="B6" s="134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/>
      <c r="T7" s="56"/>
      <c r="U7" s="56"/>
      <c r="V7" s="56"/>
      <c r="W7" s="56"/>
      <c r="X7" s="57"/>
    </row>
    <row r="8" spans="1:33" ht="45.75" thickBot="1" x14ac:dyDescent="0.3">
      <c r="A8" s="131"/>
      <c r="B8" s="134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/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1192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5</v>
      </c>
      <c r="G22" s="16">
        <v>1</v>
      </c>
      <c r="H22" s="17">
        <f>SUM(D22:G22)</f>
        <v>6</v>
      </c>
      <c r="I22" s="16">
        <v>0</v>
      </c>
      <c r="J22" s="16">
        <v>0</v>
      </c>
      <c r="K22" s="16">
        <v>1</v>
      </c>
      <c r="L22" s="16">
        <v>0</v>
      </c>
      <c r="M22" s="17">
        <f>SUM(I22:L22)</f>
        <v>1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0</v>
      </c>
      <c r="G23" s="56">
        <v>0</v>
      </c>
      <c r="H23" s="60"/>
      <c r="I23" s="56">
        <v>0</v>
      </c>
      <c r="J23" s="56">
        <v>0</v>
      </c>
      <c r="K23" s="56">
        <v>0</v>
      </c>
      <c r="L23" s="56">
        <v>0</v>
      </c>
      <c r="M23" s="60"/>
      <c r="N23" s="56">
        <v>0</v>
      </c>
      <c r="O23" s="56">
        <v>0</v>
      </c>
      <c r="P23" s="56">
        <v>0</v>
      </c>
      <c r="Q23" s="56">
        <v>0</v>
      </c>
      <c r="R23" s="57"/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1190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/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/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1180</v>
      </c>
      <c r="B34" s="14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</row>
    <row r="35" spans="1:40" ht="30" customHeight="1" thickBot="1" x14ac:dyDescent="0.3">
      <c r="A35" s="145"/>
      <c r="B35" s="14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</row>
    <row r="36" spans="1:40" ht="30" customHeight="1" thickBot="1" x14ac:dyDescent="0.3">
      <c r="A36" s="145"/>
      <c r="B36" s="14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1180</v>
      </c>
      <c r="B49" s="14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45"/>
      <c r="B50" s="14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45"/>
      <c r="B51" s="14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45"/>
      <c r="B52" s="14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1187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1189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1180</v>
      </c>
      <c r="B64" s="141" t="s">
        <v>1193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45"/>
      <c r="B65" s="14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45"/>
      <c r="B66" s="14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45"/>
      <c r="B67" s="14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1187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1189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1180</v>
      </c>
      <c r="B79" s="141" t="s">
        <v>1194</v>
      </c>
      <c r="C79" s="23" t="s">
        <v>1117</v>
      </c>
      <c r="D79" s="16"/>
      <c r="E79" s="16"/>
      <c r="F79" s="16"/>
      <c r="G79" s="16"/>
      <c r="H79" s="17"/>
      <c r="I79" s="16"/>
      <c r="J79" s="16"/>
      <c r="K79" s="16"/>
      <c r="L79" s="16"/>
      <c r="M79" s="17"/>
      <c r="N79" s="16"/>
      <c r="O79" s="16"/>
      <c r="P79" s="16"/>
      <c r="Q79" s="16"/>
      <c r="R79" s="17"/>
      <c r="S79" s="16"/>
      <c r="T79" s="16"/>
      <c r="U79" s="16"/>
      <c r="V79" s="16"/>
      <c r="W79" s="17"/>
    </row>
    <row r="80" spans="1:23" ht="30" customHeight="1" thickBot="1" x14ac:dyDescent="0.3">
      <c r="A80" s="145"/>
      <c r="B80" s="142"/>
      <c r="C80" s="23" t="s">
        <v>1118</v>
      </c>
      <c r="D80" s="16"/>
      <c r="E80" s="16"/>
      <c r="F80" s="16"/>
      <c r="G80" s="16"/>
      <c r="H80" s="17"/>
      <c r="I80" s="16"/>
      <c r="J80" s="16"/>
      <c r="K80" s="16"/>
      <c r="L80" s="16"/>
      <c r="M80" s="17"/>
      <c r="N80" s="16"/>
      <c r="O80" s="16"/>
      <c r="P80" s="16"/>
      <c r="Q80" s="16"/>
      <c r="R80" s="17"/>
      <c r="S80" s="16"/>
      <c r="T80" s="16"/>
      <c r="U80" s="16"/>
      <c r="V80" s="16"/>
      <c r="W80" s="17"/>
    </row>
    <row r="81" spans="1:23" ht="30" customHeight="1" thickBot="1" x14ac:dyDescent="0.3">
      <c r="A81" s="145"/>
      <c r="B81" s="142"/>
      <c r="C81" s="23" t="s">
        <v>1119</v>
      </c>
      <c r="D81" s="16"/>
      <c r="E81" s="16"/>
      <c r="F81" s="16"/>
      <c r="G81" s="16"/>
      <c r="H81" s="17"/>
      <c r="I81" s="16"/>
      <c r="J81" s="16"/>
      <c r="K81" s="16"/>
      <c r="L81" s="16"/>
      <c r="M81" s="17"/>
      <c r="N81" s="16"/>
      <c r="O81" s="16"/>
      <c r="P81" s="16"/>
      <c r="Q81" s="16"/>
      <c r="R81" s="17"/>
      <c r="S81" s="16"/>
      <c r="T81" s="16"/>
      <c r="U81" s="16"/>
      <c r="V81" s="16"/>
      <c r="W81" s="17"/>
    </row>
    <row r="82" spans="1:23" ht="30" customHeight="1" thickBot="1" x14ac:dyDescent="0.3">
      <c r="A82" s="145"/>
      <c r="B82" s="142"/>
      <c r="C82" s="23" t="s">
        <v>1131</v>
      </c>
      <c r="D82" s="16"/>
      <c r="E82" s="16"/>
      <c r="F82" s="16"/>
      <c r="G82" s="16"/>
      <c r="H82" s="17"/>
      <c r="I82" s="16"/>
      <c r="J82" s="16"/>
      <c r="K82" s="16"/>
      <c r="L82" s="16"/>
      <c r="M82" s="17"/>
      <c r="N82" s="16"/>
      <c r="O82" s="16"/>
      <c r="P82" s="16"/>
      <c r="Q82" s="16"/>
      <c r="R82" s="17"/>
      <c r="S82" s="16"/>
      <c r="T82" s="16"/>
      <c r="U82" s="16"/>
      <c r="V82" s="16"/>
      <c r="W82" s="17"/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1187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1189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1182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1185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1186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1184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</sheetData>
  <mergeCells count="35">
    <mergeCell ref="A49:A63"/>
    <mergeCell ref="B49:B63"/>
    <mergeCell ref="A64:A78"/>
    <mergeCell ref="B64:B78"/>
    <mergeCell ref="A79:A93"/>
    <mergeCell ref="B79:B93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K15" sqref="K15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0" t="s">
        <v>670</v>
      </c>
      <c r="B1" s="183"/>
      <c r="C1" s="184"/>
      <c r="D1" s="187" t="s">
        <v>1163</v>
      </c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9"/>
      <c r="AZ1" s="157" t="s">
        <v>1168</v>
      </c>
      <c r="BA1" s="173" t="s">
        <v>1164</v>
      </c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5"/>
    </row>
    <row r="2" spans="1:100" ht="19.5" customHeight="1" thickBot="1" x14ac:dyDescent="0.3">
      <c r="A2" s="181"/>
      <c r="B2" s="190" t="s">
        <v>1132</v>
      </c>
      <c r="C2" s="76" t="s">
        <v>1165</v>
      </c>
      <c r="D2" s="120" t="s">
        <v>1126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1"/>
      <c r="S2" s="120" t="s">
        <v>1127</v>
      </c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21"/>
      <c r="AH2" s="120" t="s">
        <v>1173</v>
      </c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21"/>
      <c r="AW2" s="167" t="s">
        <v>1139</v>
      </c>
      <c r="AX2" s="168"/>
      <c r="AY2" s="169"/>
      <c r="AZ2" s="158"/>
      <c r="BA2" s="120" t="s">
        <v>1126</v>
      </c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21"/>
      <c r="BP2" s="120" t="s">
        <v>1127</v>
      </c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21"/>
      <c r="CE2" s="120" t="s">
        <v>1173</v>
      </c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21"/>
      <c r="CT2" s="167" t="s">
        <v>1167</v>
      </c>
      <c r="CU2" s="168"/>
      <c r="CV2" s="169"/>
    </row>
    <row r="3" spans="1:100" ht="25.5" customHeight="1" thickTop="1" thickBot="1" x14ac:dyDescent="0.3">
      <c r="A3" s="181"/>
      <c r="B3" s="191"/>
      <c r="C3" s="65" t="s">
        <v>1166</v>
      </c>
      <c r="D3" s="163" t="s">
        <v>1120</v>
      </c>
      <c r="E3" s="164"/>
      <c r="F3" s="165"/>
      <c r="G3" s="166" t="s">
        <v>1121</v>
      </c>
      <c r="H3" s="164"/>
      <c r="I3" s="165"/>
      <c r="J3" s="166" t="s">
        <v>1122</v>
      </c>
      <c r="K3" s="164"/>
      <c r="L3" s="165"/>
      <c r="M3" s="166" t="s">
        <v>1123</v>
      </c>
      <c r="N3" s="164"/>
      <c r="O3" s="165"/>
      <c r="P3" s="160" t="s">
        <v>1151</v>
      </c>
      <c r="Q3" s="161"/>
      <c r="R3" s="162"/>
      <c r="S3" s="163" t="s">
        <v>1120</v>
      </c>
      <c r="T3" s="164"/>
      <c r="U3" s="165"/>
      <c r="V3" s="166" t="s">
        <v>1121</v>
      </c>
      <c r="W3" s="164"/>
      <c r="X3" s="165"/>
      <c r="Y3" s="166" t="s">
        <v>1122</v>
      </c>
      <c r="Z3" s="164"/>
      <c r="AA3" s="165"/>
      <c r="AB3" s="166" t="s">
        <v>1123</v>
      </c>
      <c r="AC3" s="164"/>
      <c r="AD3" s="165"/>
      <c r="AE3" s="160" t="s">
        <v>1151</v>
      </c>
      <c r="AF3" s="161"/>
      <c r="AG3" s="162"/>
      <c r="AH3" s="163" t="s">
        <v>1120</v>
      </c>
      <c r="AI3" s="164"/>
      <c r="AJ3" s="165"/>
      <c r="AK3" s="166" t="s">
        <v>1121</v>
      </c>
      <c r="AL3" s="164"/>
      <c r="AM3" s="165"/>
      <c r="AN3" s="166" t="s">
        <v>1122</v>
      </c>
      <c r="AO3" s="164"/>
      <c r="AP3" s="165"/>
      <c r="AQ3" s="166" t="s">
        <v>1123</v>
      </c>
      <c r="AR3" s="164"/>
      <c r="AS3" s="165"/>
      <c r="AT3" s="160" t="s">
        <v>1151</v>
      </c>
      <c r="AU3" s="161"/>
      <c r="AV3" s="162"/>
      <c r="AW3" s="170"/>
      <c r="AX3" s="171"/>
      <c r="AY3" s="172"/>
      <c r="AZ3" s="158"/>
      <c r="BA3" s="163" t="s">
        <v>1120</v>
      </c>
      <c r="BB3" s="164"/>
      <c r="BC3" s="165"/>
      <c r="BD3" s="166" t="s">
        <v>1121</v>
      </c>
      <c r="BE3" s="164"/>
      <c r="BF3" s="165"/>
      <c r="BG3" s="166" t="s">
        <v>1122</v>
      </c>
      <c r="BH3" s="164"/>
      <c r="BI3" s="165"/>
      <c r="BJ3" s="166" t="s">
        <v>1123</v>
      </c>
      <c r="BK3" s="164"/>
      <c r="BL3" s="165"/>
      <c r="BM3" s="160" t="s">
        <v>1151</v>
      </c>
      <c r="BN3" s="161"/>
      <c r="BO3" s="162"/>
      <c r="BP3" s="163" t="s">
        <v>1120</v>
      </c>
      <c r="BQ3" s="164"/>
      <c r="BR3" s="165"/>
      <c r="BS3" s="166" t="s">
        <v>1121</v>
      </c>
      <c r="BT3" s="164"/>
      <c r="BU3" s="165"/>
      <c r="BV3" s="166" t="s">
        <v>1122</v>
      </c>
      <c r="BW3" s="164"/>
      <c r="BX3" s="165"/>
      <c r="BY3" s="166" t="s">
        <v>1123</v>
      </c>
      <c r="BZ3" s="164"/>
      <c r="CA3" s="165"/>
      <c r="CB3" s="160" t="s">
        <v>1151</v>
      </c>
      <c r="CC3" s="161"/>
      <c r="CD3" s="162"/>
      <c r="CE3" s="163" t="s">
        <v>1120</v>
      </c>
      <c r="CF3" s="164"/>
      <c r="CG3" s="165"/>
      <c r="CH3" s="166" t="s">
        <v>1121</v>
      </c>
      <c r="CI3" s="164"/>
      <c r="CJ3" s="165"/>
      <c r="CK3" s="166" t="s">
        <v>1122</v>
      </c>
      <c r="CL3" s="164"/>
      <c r="CM3" s="165"/>
      <c r="CN3" s="166" t="s">
        <v>1123</v>
      </c>
      <c r="CO3" s="164"/>
      <c r="CP3" s="165"/>
      <c r="CQ3" s="160" t="s">
        <v>1151</v>
      </c>
      <c r="CR3" s="161"/>
      <c r="CS3" s="162"/>
      <c r="CT3" s="170"/>
      <c r="CU3" s="171"/>
      <c r="CV3" s="172"/>
    </row>
    <row r="4" spans="1:100" ht="41.25" customHeight="1" thickBot="1" x14ac:dyDescent="0.3">
      <c r="A4" s="182"/>
      <c r="B4" s="192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59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6" t="s">
        <v>1180</v>
      </c>
      <c r="B5" s="185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6"/>
      <c r="B6" s="185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6"/>
      <c r="B7" s="185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6"/>
      <c r="B8" s="185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6"/>
      <c r="B9" s="185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6"/>
      <c r="B10" s="185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6"/>
      <c r="B11" s="185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6"/>
      <c r="B12" s="185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6"/>
      <c r="B13" s="185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6"/>
      <c r="B14" s="186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6" t="s">
        <v>1180</v>
      </c>
      <c r="B15" s="17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6"/>
      <c r="B16" s="17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6"/>
      <c r="B17" s="17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6"/>
      <c r="B18" s="17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6"/>
      <c r="B19" s="17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6"/>
      <c r="B20" s="17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6"/>
      <c r="B21" s="17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6"/>
      <c r="B22" s="17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6"/>
      <c r="B23" s="17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6"/>
      <c r="B24" s="17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3"/>
  <sheetViews>
    <sheetView showGridLines="0" topLeftCell="C10" zoomScaleNormal="100" workbookViewId="0">
      <selection activeCell="P14" sqref="P14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  <col min="26" max="26" width="6.7109375" customWidth="1"/>
  </cols>
  <sheetData>
    <row r="1" spans="1:33" ht="15.75" thickBot="1" x14ac:dyDescent="0.3"/>
    <row r="2" spans="1:33" ht="22.5" customHeight="1" thickBot="1" x14ac:dyDescent="0.3">
      <c r="A2" s="116" t="s">
        <v>1179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  <c r="Z2" s="115"/>
    </row>
    <row r="3" spans="1:33" ht="30" customHeight="1" thickBot="1" x14ac:dyDescent="0.3">
      <c r="A3" s="147" t="s">
        <v>670</v>
      </c>
      <c r="B3" s="147" t="s">
        <v>1178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/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1180</v>
      </c>
      <c r="B5" s="133">
        <f ca="1">TODAY()</f>
        <v>43115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/>
      <c r="T5" s="16"/>
      <c r="U5" s="16"/>
      <c r="V5" s="16"/>
      <c r="W5" s="16"/>
      <c r="X5" s="52"/>
      <c r="Z5" s="46"/>
    </row>
    <row r="6" spans="1:33" ht="47.25" customHeight="1" thickBot="1" x14ac:dyDescent="0.3">
      <c r="A6" s="131"/>
      <c r="B6" s="134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/>
      <c r="T7" s="56"/>
      <c r="U7" s="56"/>
      <c r="V7" s="56"/>
      <c r="W7" s="56"/>
      <c r="X7" s="57"/>
    </row>
    <row r="8" spans="1:33" ht="45.75" thickBot="1" x14ac:dyDescent="0.3">
      <c r="A8" s="131"/>
      <c r="B8" s="134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/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1192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5</v>
      </c>
      <c r="G22" s="16">
        <v>1</v>
      </c>
      <c r="H22" s="17">
        <f>SUM(D22:G22)</f>
        <v>6</v>
      </c>
      <c r="I22" s="16">
        <v>0</v>
      </c>
      <c r="J22" s="16">
        <v>0</v>
      </c>
      <c r="K22" s="16">
        <v>1</v>
      </c>
      <c r="L22" s="16">
        <v>0</v>
      </c>
      <c r="M22" s="17">
        <f>SUM(I22:L22)</f>
        <v>1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0</v>
      </c>
      <c r="G23" s="56">
        <v>0</v>
      </c>
      <c r="H23" s="60"/>
      <c r="I23" s="56">
        <v>0</v>
      </c>
      <c r="J23" s="56">
        <v>0</v>
      </c>
      <c r="K23" s="56">
        <v>0</v>
      </c>
      <c r="L23" s="56">
        <v>0</v>
      </c>
      <c r="M23" s="60"/>
      <c r="N23" s="56">
        <v>0</v>
      </c>
      <c r="O23" s="56">
        <v>0</v>
      </c>
      <c r="P23" s="56">
        <v>0</v>
      </c>
      <c r="Q23" s="56">
        <v>0</v>
      </c>
      <c r="R23" s="57"/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1190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/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/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1180</v>
      </c>
      <c r="B34" s="14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</row>
    <row r="35" spans="1:40" ht="30" customHeight="1" thickBot="1" x14ac:dyDescent="0.3">
      <c r="A35" s="145"/>
      <c r="B35" s="14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</row>
    <row r="36" spans="1:40" ht="30" customHeight="1" thickBot="1" x14ac:dyDescent="0.3">
      <c r="A36" s="145"/>
      <c r="B36" s="14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1180</v>
      </c>
      <c r="B49" s="14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45"/>
      <c r="B50" s="14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45"/>
      <c r="B51" s="14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45"/>
      <c r="B52" s="14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1187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1189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1180</v>
      </c>
      <c r="B64" s="141" t="s">
        <v>1193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45"/>
      <c r="B65" s="14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45"/>
      <c r="B66" s="14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45"/>
      <c r="B67" s="14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1187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1189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1180</v>
      </c>
      <c r="B79" s="141" t="s">
        <v>1194</v>
      </c>
      <c r="C79" s="23" t="s">
        <v>1117</v>
      </c>
      <c r="D79" s="16"/>
      <c r="E79" s="16"/>
      <c r="F79" s="16"/>
      <c r="G79" s="16"/>
      <c r="H79" s="17"/>
      <c r="I79" s="16"/>
      <c r="J79" s="16"/>
      <c r="K79" s="16"/>
      <c r="L79" s="16"/>
      <c r="M79" s="17"/>
      <c r="N79" s="16"/>
      <c r="O79" s="16"/>
      <c r="P79" s="16"/>
      <c r="Q79" s="16"/>
      <c r="R79" s="17"/>
      <c r="S79" s="16"/>
      <c r="T79" s="16"/>
      <c r="U79" s="16"/>
      <c r="V79" s="16"/>
      <c r="W79" s="17"/>
    </row>
    <row r="80" spans="1:23" ht="30" customHeight="1" thickBot="1" x14ac:dyDescent="0.3">
      <c r="A80" s="145"/>
      <c r="B80" s="142"/>
      <c r="C80" s="23" t="s">
        <v>1118</v>
      </c>
      <c r="D80" s="16"/>
      <c r="E80" s="16"/>
      <c r="F80" s="16"/>
      <c r="G80" s="16"/>
      <c r="H80" s="17"/>
      <c r="I80" s="16"/>
      <c r="J80" s="16"/>
      <c r="K80" s="16"/>
      <c r="L80" s="16"/>
      <c r="M80" s="17"/>
      <c r="N80" s="16"/>
      <c r="O80" s="16"/>
      <c r="P80" s="16"/>
      <c r="Q80" s="16"/>
      <c r="R80" s="17"/>
      <c r="S80" s="16"/>
      <c r="T80" s="16"/>
      <c r="U80" s="16"/>
      <c r="V80" s="16"/>
      <c r="W80" s="17"/>
    </row>
    <row r="81" spans="1:23" ht="30" customHeight="1" thickBot="1" x14ac:dyDescent="0.3">
      <c r="A81" s="145"/>
      <c r="B81" s="142"/>
      <c r="C81" s="23" t="s">
        <v>1119</v>
      </c>
      <c r="D81" s="16"/>
      <c r="E81" s="16"/>
      <c r="F81" s="16"/>
      <c r="G81" s="16"/>
      <c r="H81" s="17"/>
      <c r="I81" s="16"/>
      <c r="J81" s="16"/>
      <c r="K81" s="16"/>
      <c r="L81" s="16"/>
      <c r="M81" s="17"/>
      <c r="N81" s="16"/>
      <c r="O81" s="16"/>
      <c r="P81" s="16"/>
      <c r="Q81" s="16"/>
      <c r="R81" s="17"/>
      <c r="S81" s="16"/>
      <c r="T81" s="16"/>
      <c r="U81" s="16"/>
      <c r="V81" s="16"/>
      <c r="W81" s="17"/>
    </row>
    <row r="82" spans="1:23" ht="30" customHeight="1" thickBot="1" x14ac:dyDescent="0.3">
      <c r="A82" s="145"/>
      <c r="B82" s="142"/>
      <c r="C82" s="23" t="s">
        <v>1131</v>
      </c>
      <c r="D82" s="16"/>
      <c r="E82" s="16"/>
      <c r="F82" s="16"/>
      <c r="G82" s="16"/>
      <c r="H82" s="17"/>
      <c r="I82" s="16"/>
      <c r="J82" s="16"/>
      <c r="K82" s="16"/>
      <c r="L82" s="16"/>
      <c r="M82" s="17"/>
      <c r="N82" s="16"/>
      <c r="O82" s="16"/>
      <c r="P82" s="16"/>
      <c r="Q82" s="16"/>
      <c r="R82" s="17"/>
      <c r="S82" s="16"/>
      <c r="T82" s="16"/>
      <c r="U82" s="16"/>
      <c r="V82" s="16"/>
      <c r="W82" s="17"/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1187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1189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1182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1185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1186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1184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</sheetData>
  <mergeCells count="35"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93"/>
  <sheetViews>
    <sheetView showGridLines="0" topLeftCell="C7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  <col min="26" max="26" width="6.7109375" customWidth="1"/>
  </cols>
  <sheetData>
    <row r="1" spans="1:33" ht="15.75" thickBot="1" x14ac:dyDescent="0.3"/>
    <row r="2" spans="1:33" ht="22.5" customHeight="1" thickBot="1" x14ac:dyDescent="0.3">
      <c r="A2" s="116" t="s">
        <v>1179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  <c r="Z2" s="115"/>
    </row>
    <row r="3" spans="1:33" ht="30" customHeight="1" thickBot="1" x14ac:dyDescent="0.3">
      <c r="A3" s="147" t="s">
        <v>670</v>
      </c>
      <c r="B3" s="147" t="s">
        <v>1178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/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1180</v>
      </c>
      <c r="B5" s="133">
        <f ca="1">TODAY()</f>
        <v>43115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/>
      <c r="T5" s="16"/>
      <c r="U5" s="16"/>
      <c r="V5" s="16"/>
      <c r="W5" s="16"/>
      <c r="X5" s="52"/>
      <c r="Z5" s="46"/>
    </row>
    <row r="6" spans="1:33" ht="47.25" customHeight="1" thickBot="1" x14ac:dyDescent="0.3">
      <c r="A6" s="131"/>
      <c r="B6" s="134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/>
      <c r="T7" s="56"/>
      <c r="U7" s="56"/>
      <c r="V7" s="56"/>
      <c r="W7" s="56"/>
      <c r="X7" s="57"/>
    </row>
    <row r="8" spans="1:33" ht="45.75" thickBot="1" x14ac:dyDescent="0.3">
      <c r="A8" s="131"/>
      <c r="B8" s="134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/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1192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f>SUM(D14:G14)</f>
        <v>0</v>
      </c>
      <c r="I14" s="16">
        <v>0</v>
      </c>
      <c r="J14" s="16">
        <v>0</v>
      </c>
      <c r="K14" s="16">
        <v>0</v>
      </c>
      <c r="L14" s="16">
        <v>0</v>
      </c>
      <c r="M14" s="17">
        <f>SUM(I14:L14)</f>
        <v>0</v>
      </c>
      <c r="N14" s="16">
        <v>0</v>
      </c>
      <c r="O14" s="16">
        <v>0</v>
      </c>
      <c r="P14" s="16">
        <v>0</v>
      </c>
      <c r="Q14" s="16">
        <v>0</v>
      </c>
      <c r="R14" s="52">
        <f>SUM(N14:Q14)</f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f>SUM(D15:G15)</f>
        <v>0</v>
      </c>
      <c r="I15" s="16">
        <v>0</v>
      </c>
      <c r="J15" s="16">
        <v>0</v>
      </c>
      <c r="K15" s="16">
        <v>0</v>
      </c>
      <c r="L15" s="16">
        <v>0</v>
      </c>
      <c r="M15" s="17">
        <f>SUM(I15:L15)</f>
        <v>0</v>
      </c>
      <c r="N15" s="16">
        <v>0</v>
      </c>
      <c r="O15" s="16">
        <v>0</v>
      </c>
      <c r="P15" s="16">
        <v>0</v>
      </c>
      <c r="Q15" s="16">
        <v>0</v>
      </c>
      <c r="R15" s="52">
        <f>SUM(N15:Q15)</f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f>SUM(D16:G16)</f>
        <v>0</v>
      </c>
      <c r="I16" s="16">
        <v>0</v>
      </c>
      <c r="J16" s="16">
        <v>0</v>
      </c>
      <c r="K16" s="16">
        <v>0</v>
      </c>
      <c r="L16" s="16">
        <v>0</v>
      </c>
      <c r="M16" s="17">
        <f>SUM(I16:L16)</f>
        <v>0</v>
      </c>
      <c r="N16" s="16">
        <v>0</v>
      </c>
      <c r="O16" s="16">
        <v>0</v>
      </c>
      <c r="P16" s="16">
        <v>0</v>
      </c>
      <c r="Q16" s="16">
        <v>0</v>
      </c>
      <c r="R16" s="52">
        <f>SUM(N16:Q16)</f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f>SUM(D17:G17)</f>
        <v>0</v>
      </c>
      <c r="I17" s="16">
        <v>0</v>
      </c>
      <c r="J17" s="16">
        <v>0</v>
      </c>
      <c r="K17" s="16">
        <v>0</v>
      </c>
      <c r="L17" s="16">
        <v>0</v>
      </c>
      <c r="M17" s="17">
        <f>SUM(I17:L17)</f>
        <v>0</v>
      </c>
      <c r="N17" s="16">
        <v>0</v>
      </c>
      <c r="O17" s="16">
        <v>0</v>
      </c>
      <c r="P17" s="16">
        <v>0</v>
      </c>
      <c r="Q17" s="16">
        <v>0</v>
      </c>
      <c r="R17" s="52">
        <f>SUM(N17:Q17)</f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f>SUM(D18:G18)</f>
        <v>0</v>
      </c>
      <c r="I18" s="16">
        <v>0</v>
      </c>
      <c r="J18" s="16">
        <v>0</v>
      </c>
      <c r="K18" s="16">
        <v>0</v>
      </c>
      <c r="L18" s="16">
        <v>0</v>
      </c>
      <c r="M18" s="17">
        <f>SUM(I18:L18)</f>
        <v>0</v>
      </c>
      <c r="N18" s="16">
        <v>0</v>
      </c>
      <c r="O18" s="16">
        <v>0</v>
      </c>
      <c r="P18" s="16">
        <v>0</v>
      </c>
      <c r="Q18" s="16">
        <v>0</v>
      </c>
      <c r="R18" s="52">
        <f>SUM(N18:Q18)</f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f>SUM(D19:G19)</f>
        <v>0</v>
      </c>
      <c r="I19" s="16">
        <v>0</v>
      </c>
      <c r="J19" s="16">
        <v>0</v>
      </c>
      <c r="K19" s="16">
        <v>0</v>
      </c>
      <c r="L19" s="16">
        <v>0</v>
      </c>
      <c r="M19" s="17">
        <f>SUM(I19:L19)</f>
        <v>0</v>
      </c>
      <c r="N19" s="16">
        <v>0</v>
      </c>
      <c r="O19" s="16">
        <v>0</v>
      </c>
      <c r="P19" s="16">
        <v>0</v>
      </c>
      <c r="Q19" s="16">
        <v>0</v>
      </c>
      <c r="R19" s="52">
        <f>SUM(N19:Q19)</f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f>SUM(D20:G20)</f>
        <v>0</v>
      </c>
      <c r="I20" s="16">
        <v>0</v>
      </c>
      <c r="J20" s="16">
        <v>0</v>
      </c>
      <c r="K20" s="16">
        <v>0</v>
      </c>
      <c r="L20" s="16">
        <v>0</v>
      </c>
      <c r="M20" s="17">
        <f>SUM(I20:L20)</f>
        <v>0</v>
      </c>
      <c r="N20" s="16">
        <v>0</v>
      </c>
      <c r="O20" s="16">
        <v>0</v>
      </c>
      <c r="P20" s="16">
        <v>0</v>
      </c>
      <c r="Q20" s="16">
        <v>0</v>
      </c>
      <c r="R20" s="52">
        <f>SUM(N20:Q20)</f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f>SUM(D21:G21)</f>
        <v>0</v>
      </c>
      <c r="I21" s="16">
        <v>0</v>
      </c>
      <c r="J21" s="16">
        <v>0</v>
      </c>
      <c r="K21" s="16">
        <v>0</v>
      </c>
      <c r="L21" s="16">
        <v>0</v>
      </c>
      <c r="M21" s="17">
        <f>SUM(I21:L21)</f>
        <v>0</v>
      </c>
      <c r="N21" s="16">
        <v>0</v>
      </c>
      <c r="O21" s="16">
        <v>0</v>
      </c>
      <c r="P21" s="16">
        <v>0</v>
      </c>
      <c r="Q21" s="16">
        <v>0</v>
      </c>
      <c r="R21" s="52">
        <f>SUM(N21:Q21)</f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2</v>
      </c>
      <c r="F22" s="16">
        <v>12</v>
      </c>
      <c r="G22" s="16">
        <v>6</v>
      </c>
      <c r="H22" s="17">
        <f>SUM(D22:G22)</f>
        <v>20</v>
      </c>
      <c r="I22" s="16">
        <v>0</v>
      </c>
      <c r="J22" s="16">
        <v>9</v>
      </c>
      <c r="K22" s="16">
        <v>184</v>
      </c>
      <c r="L22" s="16">
        <v>2</v>
      </c>
      <c r="M22" s="17">
        <f>SUM(I22:L22)</f>
        <v>195</v>
      </c>
      <c r="N22" s="16">
        <v>0</v>
      </c>
      <c r="O22" s="16">
        <v>0</v>
      </c>
      <c r="P22" s="16">
        <v>0</v>
      </c>
      <c r="Q22" s="16">
        <v>0</v>
      </c>
      <c r="R22" s="52">
        <f>SUM(N22:Q22)</f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0</v>
      </c>
      <c r="G23" s="56">
        <v>0</v>
      </c>
      <c r="H23" s="60"/>
      <c r="I23" s="56">
        <v>0</v>
      </c>
      <c r="J23" s="56">
        <v>0</v>
      </c>
      <c r="K23" s="56">
        <v>0</v>
      </c>
      <c r="L23" s="56">
        <v>0</v>
      </c>
      <c r="M23" s="60"/>
      <c r="N23" s="56">
        <v>0</v>
      </c>
      <c r="O23" s="56">
        <v>0</v>
      </c>
      <c r="P23" s="56">
        <v>0</v>
      </c>
      <c r="Q23" s="56">
        <v>0</v>
      </c>
      <c r="R23" s="57"/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1190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/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/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1180</v>
      </c>
      <c r="B34" s="14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</row>
    <row r="35" spans="1:40" ht="30" customHeight="1" thickBot="1" x14ac:dyDescent="0.3">
      <c r="A35" s="145"/>
      <c r="B35" s="14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</row>
    <row r="36" spans="1:40" ht="30" customHeight="1" thickBot="1" x14ac:dyDescent="0.3">
      <c r="A36" s="145"/>
      <c r="B36" s="14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1180</v>
      </c>
      <c r="B49" s="14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45"/>
      <c r="B50" s="14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45"/>
      <c r="B51" s="14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45"/>
      <c r="B52" s="14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1187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1189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1180</v>
      </c>
      <c r="B64" s="141" t="s">
        <v>1193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45"/>
      <c r="B65" s="14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45"/>
      <c r="B66" s="14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45"/>
      <c r="B67" s="14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1187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1189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1180</v>
      </c>
      <c r="B79" s="141" t="s">
        <v>1194</v>
      </c>
      <c r="C79" s="23" t="s">
        <v>1117</v>
      </c>
      <c r="D79" s="16"/>
      <c r="E79" s="16"/>
      <c r="F79" s="16"/>
      <c r="G79" s="16"/>
      <c r="H79" s="17"/>
      <c r="I79" s="16"/>
      <c r="J79" s="16"/>
      <c r="K79" s="16"/>
      <c r="L79" s="16"/>
      <c r="M79" s="17"/>
      <c r="N79" s="16"/>
      <c r="O79" s="16"/>
      <c r="P79" s="16"/>
      <c r="Q79" s="16"/>
      <c r="R79" s="17"/>
      <c r="S79" s="16"/>
      <c r="T79" s="16"/>
      <c r="U79" s="16"/>
      <c r="V79" s="16"/>
      <c r="W79" s="17"/>
    </row>
    <row r="80" spans="1:23" ht="30" customHeight="1" thickBot="1" x14ac:dyDescent="0.3">
      <c r="A80" s="145"/>
      <c r="B80" s="142"/>
      <c r="C80" s="23" t="s">
        <v>1118</v>
      </c>
      <c r="D80" s="16"/>
      <c r="E80" s="16"/>
      <c r="F80" s="16"/>
      <c r="G80" s="16"/>
      <c r="H80" s="17"/>
      <c r="I80" s="16"/>
      <c r="J80" s="16"/>
      <c r="K80" s="16"/>
      <c r="L80" s="16"/>
      <c r="M80" s="17"/>
      <c r="N80" s="16"/>
      <c r="O80" s="16"/>
      <c r="P80" s="16"/>
      <c r="Q80" s="16"/>
      <c r="R80" s="17"/>
      <c r="S80" s="16"/>
      <c r="T80" s="16"/>
      <c r="U80" s="16"/>
      <c r="V80" s="16"/>
      <c r="W80" s="17"/>
    </row>
    <row r="81" spans="1:23" ht="30" customHeight="1" thickBot="1" x14ac:dyDescent="0.3">
      <c r="A81" s="145"/>
      <c r="B81" s="142"/>
      <c r="C81" s="23" t="s">
        <v>1119</v>
      </c>
      <c r="D81" s="16"/>
      <c r="E81" s="16"/>
      <c r="F81" s="16"/>
      <c r="G81" s="16"/>
      <c r="H81" s="17"/>
      <c r="I81" s="16"/>
      <c r="J81" s="16"/>
      <c r="K81" s="16"/>
      <c r="L81" s="16"/>
      <c r="M81" s="17"/>
      <c r="N81" s="16"/>
      <c r="O81" s="16"/>
      <c r="P81" s="16"/>
      <c r="Q81" s="16"/>
      <c r="R81" s="17"/>
      <c r="S81" s="16"/>
      <c r="T81" s="16"/>
      <c r="U81" s="16"/>
      <c r="V81" s="16"/>
      <c r="W81" s="17"/>
    </row>
    <row r="82" spans="1:23" ht="30" customHeight="1" thickBot="1" x14ac:dyDescent="0.3">
      <c r="A82" s="145"/>
      <c r="B82" s="142"/>
      <c r="C82" s="23" t="s">
        <v>1131</v>
      </c>
      <c r="D82" s="16"/>
      <c r="E82" s="16"/>
      <c r="F82" s="16"/>
      <c r="G82" s="16"/>
      <c r="H82" s="17"/>
      <c r="I82" s="16"/>
      <c r="J82" s="16"/>
      <c r="K82" s="16"/>
      <c r="L82" s="16"/>
      <c r="M82" s="17"/>
      <c r="N82" s="16"/>
      <c r="O82" s="16"/>
      <c r="P82" s="16"/>
      <c r="Q82" s="16"/>
      <c r="R82" s="17"/>
      <c r="S82" s="16"/>
      <c r="T82" s="16"/>
      <c r="U82" s="16"/>
      <c r="V82" s="16"/>
      <c r="W82" s="17"/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1187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1189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1182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1185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1186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1184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</sheetData>
  <mergeCells count="35"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abSelected="1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1195</v>
      </c>
      <c r="V1" s="101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>
        <v>286</v>
      </c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>
        <v>290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>
        <v>262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>
        <v>259</v>
      </c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>
        <v>285</v>
      </c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>
        <v>283</v>
      </c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>
        <v>265</v>
      </c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>
        <v>290</v>
      </c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>
        <v>257</v>
      </c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>
        <v>257</v>
      </c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>
        <v>256</v>
      </c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>
        <v>251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>
        <v>301</v>
      </c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>
        <v>271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>
        <v>301</v>
      </c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>
        <v>286</v>
      </c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>
        <v>284</v>
      </c>
      <c r="W18">
        <v>42770</v>
      </c>
      <c r="X18">
        <v>42816</v>
      </c>
      <c r="Y18">
        <v>42816</v>
      </c>
    </row>
    <row r="19" spans="1:25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>
        <v>255</v>
      </c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>
        <v>284</v>
      </c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>
        <v>271</v>
      </c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>
        <v>261</v>
      </c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>
        <v>269</v>
      </c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>
        <v>284</v>
      </c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>
        <v>269</v>
      </c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>
        <v>307</v>
      </c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>
        <v>265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>
        <v>321</v>
      </c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>
        <v>264</v>
      </c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>
        <v>285</v>
      </c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>
        <v>262</v>
      </c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>
        <v>285</v>
      </c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>
        <v>286</v>
      </c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>
        <v>269</v>
      </c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>
        <v>265</v>
      </c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>
        <v>291</v>
      </c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>
        <v>291</v>
      </c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>
        <v>282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>
        <v>282</v>
      </c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>
        <v>286</v>
      </c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>
        <v>269</v>
      </c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>
        <v>284</v>
      </c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>
        <v>285</v>
      </c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>
        <v>285</v>
      </c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>
        <v>262</v>
      </c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>
        <v>285</v>
      </c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>
        <v>263</v>
      </c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>
        <v>285</v>
      </c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>
        <v>286</v>
      </c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>
        <v>266</v>
      </c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>
        <v>262</v>
      </c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>
        <v>262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>
        <v>291</v>
      </c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>
        <v>270</v>
      </c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>
        <v>269</v>
      </c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>
        <v>282</v>
      </c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>
        <v>254</v>
      </c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>
        <v>281</v>
      </c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>
        <v>254</v>
      </c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>
        <v>254</v>
      </c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>
        <v>284</v>
      </c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>
        <v>254</v>
      </c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>
        <v>276</v>
      </c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>
        <v>278</v>
      </c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>
        <v>286</v>
      </c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>
        <v>286</v>
      </c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>
        <v>286</v>
      </c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>
        <v>292</v>
      </c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>
        <v>292</v>
      </c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>
        <v>283</v>
      </c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>
        <v>283</v>
      </c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>
        <v>309</v>
      </c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>
        <v>276</v>
      </c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>
        <v>276</v>
      </c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>
        <v>254</v>
      </c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>
        <v>285</v>
      </c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>
        <v>263</v>
      </c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>
        <v>285</v>
      </c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>
        <v>263</v>
      </c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>
        <v>280</v>
      </c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>
        <v>263</v>
      </c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>
        <v>263</v>
      </c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>
        <v>253</v>
      </c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>
        <v>253</v>
      </c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>
        <v>282</v>
      </c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>
        <v>254</v>
      </c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>
        <v>282</v>
      </c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>
        <v>286</v>
      </c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>
        <v>286</v>
      </c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>
        <v>285</v>
      </c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>
        <v>285</v>
      </c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>
        <v>285</v>
      </c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>
        <v>275</v>
      </c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>
        <v>284</v>
      </c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>
        <v>256</v>
      </c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>
        <v>284</v>
      </c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>
        <v>264</v>
      </c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>
        <v>272</v>
      </c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>
        <v>285</v>
      </c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>
        <v>285</v>
      </c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>
        <v>282</v>
      </c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>
        <v>256</v>
      </c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>
        <v>281</v>
      </c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>
        <v>266</v>
      </c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>
        <v>293</v>
      </c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>
        <v>266</v>
      </c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>
        <v>293</v>
      </c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>
        <v>285</v>
      </c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>
        <v>252</v>
      </c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>
        <v>285</v>
      </c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>
        <v>252</v>
      </c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>
        <v>267</v>
      </c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>
        <v>285</v>
      </c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>
        <v>265</v>
      </c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>
        <v>255</v>
      </c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>
        <v>285</v>
      </c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>
        <v>273</v>
      </c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>
        <v>290</v>
      </c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>
        <v>273</v>
      </c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>
        <v>264</v>
      </c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>
        <v>284</v>
      </c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>
        <v>263</v>
      </c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>
        <v>285</v>
      </c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>
        <v>265</v>
      </c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>
        <v>283</v>
      </c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>
        <v>264</v>
      </c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>
        <v>251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>
        <v>287</v>
      </c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>
        <v>269</v>
      </c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>
        <v>281</v>
      </c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>
        <v>269</v>
      </c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>
        <v>281</v>
      </c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>
        <v>269</v>
      </c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>
        <v>284</v>
      </c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>
        <v>272</v>
      </c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>
        <v>274</v>
      </c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>
        <v>274</v>
      </c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>
        <v>272</v>
      </c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>
        <v>274</v>
      </c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>
        <v>257</v>
      </c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>
        <v>295</v>
      </c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>
        <v>274</v>
      </c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>
        <v>274</v>
      </c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>
        <v>257</v>
      </c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>
        <v>272</v>
      </c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>
        <v>276</v>
      </c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>
        <v>271</v>
      </c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>
        <v>276</v>
      </c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>
        <v>257</v>
      </c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>
        <v>276</v>
      </c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>
        <v>283</v>
      </c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>
        <v>272</v>
      </c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>
        <v>283</v>
      </c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>
        <v>266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>
        <v>289</v>
      </c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>
        <v>265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>
        <v>289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>
        <v>269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>
        <v>289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>
        <v>267</v>
      </c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>
        <v>288</v>
      </c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>
        <v>289</v>
      </c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>
        <v>257</v>
      </c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>
        <v>289</v>
      </c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>
        <v>283</v>
      </c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>
        <v>257</v>
      </c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>
        <v>284</v>
      </c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>
        <v>289</v>
      </c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>
        <v>266</v>
      </c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>
        <v>285</v>
      </c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>
        <v>258</v>
      </c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>
        <v>285</v>
      </c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>
        <v>285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>
        <v>265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>
        <v>265</v>
      </c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>
        <v>267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>
        <v>292</v>
      </c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>
        <v>270</v>
      </c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>
        <v>269</v>
      </c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>
        <v>254</v>
      </c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>
        <v>271</v>
      </c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>
        <v>291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>
        <v>270</v>
      </c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>
        <v>291</v>
      </c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>
        <v>271</v>
      </c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>
        <v>281</v>
      </c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>
        <v>270</v>
      </c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>
        <v>283</v>
      </c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>
        <v>255</v>
      </c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>
        <v>284</v>
      </c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>
        <v>255</v>
      </c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>
        <v>266</v>
      </c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>
        <v>277</v>
      </c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>
        <v>267</v>
      </c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>
        <v>286</v>
      </c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>
        <v>265</v>
      </c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>
        <v>286</v>
      </c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>
        <v>258</v>
      </c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>
        <v>277</v>
      </c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>
        <v>257</v>
      </c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>
        <v>276</v>
      </c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>
        <v>265</v>
      </c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>
        <v>261</v>
      </c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>
        <v>265</v>
      </c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>
        <v>263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>
        <v>268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>
        <v>268</v>
      </c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>
        <v>262</v>
      </c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>
        <v>262</v>
      </c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>
        <v>262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>
        <v>268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>
        <v>268</v>
      </c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>
        <v>288</v>
      </c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>
        <v>262</v>
      </c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>
        <v>282</v>
      </c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>
        <v>282</v>
      </c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>
        <v>282</v>
      </c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>
        <v>284</v>
      </c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>
        <v>265</v>
      </c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>
        <v>288</v>
      </c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>
        <v>285</v>
      </c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>
        <v>265</v>
      </c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>
        <v>288</v>
      </c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>
        <v>282</v>
      </c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>
        <v>278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>
        <v>255</v>
      </c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>
        <v>263</v>
      </c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>
        <v>286</v>
      </c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>
        <v>263</v>
      </c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>
        <v>286</v>
      </c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>
        <v>263</v>
      </c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>
        <v>263</v>
      </c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>
        <v>263</v>
      </c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>
        <v>282</v>
      </c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>
        <v>263</v>
      </c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>
        <v>282</v>
      </c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>
        <v>263</v>
      </c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>
        <v>255</v>
      </c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>
        <v>282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>
        <v>282</v>
      </c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>
        <v>282</v>
      </c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>
        <v>282</v>
      </c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>
        <v>256</v>
      </c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>
        <v>279</v>
      </c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>
        <v>258</v>
      </c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>
        <v>257</v>
      </c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>
        <v>277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>
        <v>277</v>
      </c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>
        <v>258</v>
      </c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>
        <v>277</v>
      </c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>
        <v>277</v>
      </c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>
        <v>258</v>
      </c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>
        <v>257</v>
      </c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>
        <v>275</v>
      </c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>
        <v>277</v>
      </c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>
        <v>279</v>
      </c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>
        <v>255</v>
      </c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>
        <v>279</v>
      </c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>
        <v>281</v>
      </c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>
        <v>275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  <c r="W279">
        <v>42781</v>
      </c>
      <c r="X279">
        <v>42781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>
        <v>278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>
        <v>290</v>
      </c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>
        <v>276</v>
      </c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>
        <v>275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>
        <v>270</v>
      </c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>
        <v>272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>
        <v>270</v>
      </c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>
        <v>270</v>
      </c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>
        <v>268</v>
      </c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>
        <v>275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>
        <v>263</v>
      </c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>
        <v>300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>
        <v>299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>
        <v>298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>
        <v>298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>
        <v>298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>
        <v>265</v>
      </c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>
        <v>294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>
        <v>263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>
        <v>293</v>
      </c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>
        <v>288</v>
      </c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>
        <v>288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>
        <v>291</v>
      </c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>
        <v>258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>
        <v>289</v>
      </c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>
        <v>258</v>
      </c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W325">
        <v>42814</v>
      </c>
      <c r="X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W334">
        <v>42768</v>
      </c>
      <c r="X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>
        <v>284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>
        <v>282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>
        <v>270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W343">
        <v>42795</v>
      </c>
      <c r="X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W345">
        <v>42797</v>
      </c>
      <c r="X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>
        <v>279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>
        <v>265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>
        <v>269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>
        <v>279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>
        <v>298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>
        <v>297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>
        <v>272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W354">
        <v>42807</v>
      </c>
      <c r="X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>
        <v>293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>
        <v>289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>
        <v>265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>
        <v>286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>
        <v>275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>
        <v>285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>
        <v>285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W366">
        <v>42816</v>
      </c>
      <c r="X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>
        <v>279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>
        <v>272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>
        <v>283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W370">
        <v>42817</v>
      </c>
      <c r="X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>
        <v>279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W376">
        <v>42817</v>
      </c>
      <c r="X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>
        <v>278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>
        <v>278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>
        <v>277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>
        <v>272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>
        <v>277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>
        <v>275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>
        <v>271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>
        <v>276</v>
      </c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W393">
        <v>42814</v>
      </c>
      <c r="X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>
        <v>276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>
        <v>276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>
        <v>274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>
        <v>272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>
        <v>691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>
        <v>275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>
        <v>264</v>
      </c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W403">
        <v>42634</v>
      </c>
      <c r="X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>
        <v>274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>
        <v>274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>
        <v>263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>
        <v>271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>
        <v>354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>
        <v>272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>
        <v>328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>
        <v>269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>
        <v>271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>
        <v>333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W420">
        <v>42828</v>
      </c>
      <c r="X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W421">
        <v>42768</v>
      </c>
      <c r="X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>
        <v>272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>
        <v>286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>
        <v>264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>
        <v>272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W429">
        <v>42786</v>
      </c>
      <c r="X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>
        <v>286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>
        <v>271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W434">
        <v>42828</v>
      </c>
      <c r="X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>
        <v>304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>
        <v>269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>
        <v>311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>
        <v>264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>
        <v>300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>
        <v>270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>
        <v>310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>
        <v>271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>
        <v>307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>
        <v>286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>
        <v>271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>
        <v>271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W447">
        <v>42793</v>
      </c>
      <c r="X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>
        <v>271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>
        <v>305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>
        <v>270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W451">
        <v>42795</v>
      </c>
      <c r="X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>
        <v>270</v>
      </c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W453">
        <v>42795</v>
      </c>
      <c r="X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>
        <v>286</v>
      </c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>
        <v>270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>
        <v>304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>
        <v>270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>
        <v>303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>
        <v>269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>
        <v>303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>
        <v>270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>
        <v>303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>
        <v>258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>
        <v>303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>
        <v>269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>
        <v>270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W469">
        <v>42797</v>
      </c>
      <c r="X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>
        <v>268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W471">
        <v>42797</v>
      </c>
      <c r="X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>
        <v>270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W473">
        <v>42797</v>
      </c>
      <c r="X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>
        <v>268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>
        <v>264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>
        <v>269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>
        <v>300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>
        <v>297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>
        <v>269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>
        <v>298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>
        <v>268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>
        <v>299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>
        <v>269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>
        <v>298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W487">
        <v>42831</v>
      </c>
      <c r="X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>
        <v>298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>
        <v>269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>
        <v>268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>
        <v>298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>
        <v>263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>
        <v>297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>
        <v>269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>
        <v>268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>
        <v>290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>
        <v>262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W500">
        <v>42803</v>
      </c>
      <c r="X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W501">
        <v>42803</v>
      </c>
      <c r="X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>
        <v>297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>
        <v>264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>
        <v>264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>
        <v>296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>
        <v>268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>
        <v>293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>
        <v>291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>
        <v>268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>
        <v>296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>
        <v>267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>
        <v>295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>
        <v>296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>
        <v>264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>
        <v>296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>
        <v>294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>
        <v>295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>
        <v>258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>
        <v>264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>
        <v>265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W524">
        <v>42807</v>
      </c>
      <c r="X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W525">
        <v>42807</v>
      </c>
      <c r="X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>
        <v>293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>
        <v>265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>
        <v>292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>
        <v>293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>
        <v>292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>
        <v>293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W533">
        <v>42835</v>
      </c>
      <c r="X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>
        <v>292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>
        <v>291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>
        <v>292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>
        <v>292</v>
      </c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>
        <v>293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>
        <v>292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>
        <v>264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>
        <v>263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>
        <v>290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W546">
        <v>42808</v>
      </c>
      <c r="X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>
        <v>290</v>
      </c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>
        <v>264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>
        <v>292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>
        <v>257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>
        <v>285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>
        <v>257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>
        <v>286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>
        <v>264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>
        <v>291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>
        <v>262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>
        <v>291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>
        <v>263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>
        <v>289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>
        <v>290</v>
      </c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>
        <v>290</v>
      </c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>
        <v>284</v>
      </c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>
        <v>289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>
        <v>263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>
        <v>290</v>
      </c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>
        <v>263</v>
      </c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>
        <v>290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>
        <v>258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>
        <v>289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>
        <v>254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>
        <v>289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>
        <v>262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>
        <v>262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>
        <v>290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>
        <v>286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>
        <v>288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>
        <v>288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>
        <v>261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>
        <v>288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>
        <v>261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>
        <v>282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>
        <v>260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W596">
        <v>42814</v>
      </c>
      <c r="X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>
        <v>282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>
        <v>285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>
        <v>285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>
        <v>286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>
        <v>285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>
        <v>284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>
        <v>284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>
        <v>284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>
        <v>284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W611">
        <v>42816</v>
      </c>
      <c r="X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>
        <v>279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>
        <v>284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>
        <v>284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>
        <v>284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>
        <v>283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W619">
        <v>42817</v>
      </c>
      <c r="X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>
        <v>283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W623">
        <v>42817</v>
      </c>
      <c r="X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>
        <v>279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>
        <v>282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>
        <v>279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>
        <v>281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>
        <v>278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>
        <v>279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>
        <v>275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W634">
        <v>42822</v>
      </c>
      <c r="X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W636">
        <v>42822</v>
      </c>
      <c r="X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>
        <v>276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W640">
        <v>42823</v>
      </c>
      <c r="X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>
        <v>276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>
        <v>275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W648">
        <v>42824</v>
      </c>
      <c r="X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>
        <v>274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W651">
        <v>42825</v>
      </c>
      <c r="X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>
        <v>275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>
        <v>275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W656">
        <v>42825</v>
      </c>
      <c r="X656">
        <v>42826</v>
      </c>
    </row>
    <row r="657" spans="1:24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W657">
        <v>42827</v>
      </c>
      <c r="X657">
        <v>42827</v>
      </c>
    </row>
    <row r="658" spans="1:24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W658">
        <v>42828</v>
      </c>
      <c r="X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2018-01-15T13:34:37Z</dcterms:modified>
</cp:coreProperties>
</file>