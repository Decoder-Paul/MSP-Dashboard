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05" r:id="rId2"/>
    <sheet name="Consolidated Performance Audit" sheetId="14" r:id="rId3"/>
    <sheet name="Atlas" sheetId="109" r:id="rId4"/>
    <sheet name="Transformers" sheetId="108" r:id="rId5"/>
    <sheet name="Raw Data" sheetId="15" r:id="rId6"/>
    <sheet name="MainData" sheetId="12" r:id="rId7"/>
  </sheets>
  <functionGroups builtInGroupCount="18"/>
  <externalReferences>
    <externalReference r:id="rId8"/>
  </externalReferences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105" l="1"/>
  <c r="R21" i="105"/>
  <c r="R20" i="105"/>
  <c r="R19" i="105"/>
  <c r="R18" i="105"/>
  <c r="R17" i="105"/>
  <c r="R16" i="105"/>
  <c r="R15" i="105"/>
  <c r="R14" i="105"/>
  <c r="R23" i="105" s="1"/>
  <c r="M22" i="105"/>
  <c r="M21" i="105"/>
  <c r="M20" i="105"/>
  <c r="M19" i="105"/>
  <c r="M18" i="105"/>
  <c r="M17" i="105"/>
  <c r="M16" i="105"/>
  <c r="M15" i="105"/>
  <c r="M14" i="105"/>
  <c r="M23" i="105" s="1"/>
  <c r="H22" i="105"/>
  <c r="H21" i="105"/>
  <c r="H20" i="105"/>
  <c r="H19" i="105"/>
  <c r="H18" i="105"/>
  <c r="H17" i="105"/>
  <c r="H16" i="105"/>
  <c r="H15" i="105"/>
  <c r="H14" i="105"/>
  <c r="H23" i="105" s="1"/>
  <c r="R22" i="109"/>
  <c r="M22" i="109"/>
  <c r="H22" i="109"/>
  <c r="R21" i="109"/>
  <c r="M21" i="109"/>
  <c r="H21" i="109"/>
  <c r="R20" i="109"/>
  <c r="M20" i="109"/>
  <c r="H20" i="109"/>
  <c r="R19" i="109"/>
  <c r="M19" i="109"/>
  <c r="H19" i="109"/>
  <c r="R18" i="109"/>
  <c r="M18" i="109"/>
  <c r="H18" i="109"/>
  <c r="R17" i="109"/>
  <c r="M17" i="109"/>
  <c r="H17" i="109"/>
  <c r="R16" i="109"/>
  <c r="M16" i="109"/>
  <c r="H16" i="109"/>
  <c r="R15" i="109"/>
  <c r="R23" i="109" s="1"/>
  <c r="M15" i="109"/>
  <c r="M23" i="109" s="1"/>
  <c r="H15" i="109"/>
  <c r="R14" i="109"/>
  <c r="M14" i="109"/>
  <c r="H14" i="109"/>
  <c r="H23" i="109" s="1"/>
  <c r="R22" i="108"/>
  <c r="M22" i="108"/>
  <c r="H22" i="108"/>
  <c r="R21" i="108"/>
  <c r="M21" i="108"/>
  <c r="H21" i="108"/>
  <c r="R20" i="108"/>
  <c r="M20" i="108"/>
  <c r="H20" i="108"/>
  <c r="R19" i="108"/>
  <c r="M19" i="108"/>
  <c r="H19" i="108"/>
  <c r="R18" i="108"/>
  <c r="M18" i="108"/>
  <c r="H18" i="108"/>
  <c r="R17" i="108"/>
  <c r="M17" i="108"/>
  <c r="H17" i="108"/>
  <c r="R16" i="108"/>
  <c r="M16" i="108"/>
  <c r="H16" i="108"/>
  <c r="R15" i="108"/>
  <c r="M15" i="108"/>
  <c r="M23" i="108" s="1"/>
  <c r="H15" i="108"/>
  <c r="H23" i="108" s="1"/>
  <c r="R14" i="108"/>
  <c r="R23" i="108" s="1"/>
  <c r="M14" i="108"/>
  <c r="H14" i="108"/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<sst xmlns="http://schemas.openxmlformats.org/spreadsheetml/2006/main" count="13017" uniqueCount="1198">
  <si>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</si>
  <si>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</si>
  <si>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</si>
  <si>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</si>
  <si>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</si>
  <si>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</si>
  <si>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</si>
  <si>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</si>
  <si>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</si>
  <si>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</si>
  <si>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</si>
  <si>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</si>
  <si>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</si>
  <si>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</si>
  <si>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</si>
  <si>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</si>
  <si>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</si>
  <si>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</si>
  <si>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</si>
  <si>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</si>
  <si>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</si>
  <si>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</si>
  <si>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</si>
  <si>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</si>
  <si>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</si>
  <si>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</si>
  <si>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</si>
  <si>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</si>
  <si>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</si>
  <si>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</si>
  <si>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</si>
  <si>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</si>
  <si>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</si>
  <si>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</si>
  <si>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</si>
  <si>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</si>
  <si>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</si>
  <si>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</si>
  <si>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</si>
  <si>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</si>
  <si>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</si>
  <si>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</si>
  <si>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</si>
  <si>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</si>
  <si>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</si>
  <si>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</si>
  <si>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</si>
  <si>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</si>
  <si>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</si>
  <si>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</si>
  <si>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</si>
  <si>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</si>
  <si>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</si>
  <si>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</si>
  <si>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</si>
  <si>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</si>
  <si>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</si>
  <si>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</si>
  <si>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</si>
  <si>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</si>
  <si>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</si>
  <si>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</si>
  <si>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</si>
  <si>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</si>
  <si>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</si>
  <si>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</si>
  <si>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</si>
  <si>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</si>
  <si>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</si>
  <si>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</si>
  <si>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</si>
  <si>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</si>
  <si>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</si>
  <si>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</si>
  <si>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</si>
  <si>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</si>
  <si>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</si>
  <si>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</si>
  <si>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</si>
  <si>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</si>
  <si>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</si>
  <si>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</si>
  <si>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</si>
  <si>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</si>
  <si>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</si>
  <si>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</si>
  <si>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</si>
  <si>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</si>
  <si>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</si>
  <si>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</si>
  <si>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</si>
  <si>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</si>
  <si>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</si>
  <si>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</si>
  <si>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</si>
  <si>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</si>
  <si>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</si>
  <si>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</si>
  <si>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</si>
  <si>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</si>
  <si>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</si>
  <si>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</si>
  <si>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</si>
  <si>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</si>
  <si>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</si>
  <si>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</si>
  <si>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</si>
  <si>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</si>
  <si>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</si>
  <si>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</si>
  <si>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</si>
  <si>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</si>
  <si>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</si>
  <si>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</si>
  <si>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</si>
  <si>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</si>
  <si>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</si>
  <si>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</si>
  <si>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</si>
  <si>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</si>
  <si>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</si>
  <si>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</si>
  <si>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</si>
  <si>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</si>
  <si>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</si>
  <si>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</si>
  <si>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</si>
  <si>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</si>
  <si>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</si>
  <si>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</si>
  <si>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</si>
  <si>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</si>
  <si>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</si>
  <si>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</si>
  <si>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</si>
  <si>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</si>
  <si>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</si>
  <si>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</si>
  <si>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</si>
  <si>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</si>
  <si>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</si>
  <si>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</si>
  <si>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</si>
  <si>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</si>
  <si>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</si>
  <si>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</si>
  <si>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</si>
  <si>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</si>
  <si>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</si>
  <si>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</si>
  <si>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</si>
  <si>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</si>
  <si>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</si>
  <si>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</si>
  <si>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</si>
  <si>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</si>
  <si>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</si>
  <si>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</si>
  <si>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</si>
  <si>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</si>
  <si>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</si>
  <si>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</si>
  <si>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</si>
  <si>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</si>
  <si>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</si>
  <si>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</si>
  <si>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</si>
  <si>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</si>
  <si>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</si>
  <si>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</si>
  <si>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</si>
  <si>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</si>
  <si>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</si>
  <si>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</si>
  <si>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</si>
  <si>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</si>
  <si>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</si>
  <si>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</si>
  <si>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</si>
  <si>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</si>
  <si>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</si>
  <si>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</si>
  <si>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</si>
  <si>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</si>
  <si>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</si>
  <si>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</si>
  <si>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</si>
  <si>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</si>
  <si>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</si>
  <si>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</si>
  <si>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</si>
  <si>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</si>
  <si>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</si>
  <si>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</si>
  <si>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</si>
  <si>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</si>
  <si>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</si>
  <si>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</si>
  <si>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</si>
  <si>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</si>
  <si>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</si>
  <si>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</si>
  <si>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</si>
  <si>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</si>
  <si>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</si>
  <si>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</si>
  <si>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</si>
  <si>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</si>
  <si>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</si>
  <si>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</si>
  <si>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</si>
  <si>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</si>
  <si>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</si>
  <si>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</si>
  <si>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</si>
  <si>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</si>
  <si>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</si>
  <si>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</si>
  <si>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</si>
  <si>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</si>
  <si>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</si>
  <si>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</si>
  <si>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</si>
  <si>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</si>
  <si>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</si>
  <si>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</si>
  <si>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</si>
  <si>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</si>
  <si>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</si>
  <si>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</si>
  <si>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</si>
  <si>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</si>
  <si>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</si>
  <si>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</si>
  <si>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</si>
  <si>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</si>
  <si>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</si>
  <si>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</si>
  <si>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</si>
  <si>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</si>
  <si>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</si>
  <si>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</si>
  <si>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</si>
  <si>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</si>
  <si>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</si>
  <si>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</si>
  <si>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</si>
  <si>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</si>
  <si>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</si>
  <si>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</si>
  <si>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</si>
  <si>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</si>
  <si>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</si>
  <si>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</si>
  <si>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</si>
  <si>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</si>
  <si>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</si>
  <si>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</si>
  <si>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</si>
  <si>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</si>
  <si>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</si>
  <si>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</si>
  <si>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</si>
  <si>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</si>
  <si>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</si>
  <si>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</si>
  <si>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</si>
  <si>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</si>
  <si>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</si>
  <si>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</si>
  <si>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</si>
  <si>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</si>
  <si>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</si>
  <si>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</si>
  <si>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</si>
  <si>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</si>
  <si>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</si>
  <si>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</si>
  <si>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</si>
  <si>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</si>
  <si>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</si>
  <si>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</si>
  <si>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</si>
  <si>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</si>
  <si>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</si>
  <si>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</si>
  <si>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</si>
  <si>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</si>
  <si>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</si>
  <si>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</si>
  <si>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</si>
  <si>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</si>
  <si>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</si>
  <si>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</si>
  <si>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</si>
  <si>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</si>
  <si>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</si>
  <si>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</si>
  <si>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</si>
  <si>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</si>
  <si>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</si>
  <si>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</si>
  <si>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</si>
  <si>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</si>
  <si>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</si>
  <si>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</si>
  <si>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</si>
  <si>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</si>
  <si>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</si>
  <si>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</si>
  <si>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</si>
  <si>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</si>
  <si>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</si>
  <si>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</si>
  <si>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</si>
  <si>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</si>
  <si>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</si>
  <si>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</si>
  <si>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</si>
  <si>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</si>
  <si>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</si>
  <si>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</si>
  <si>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</si>
  <si>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</si>
  <si>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</si>
  <si>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</si>
  <si>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</si>
  <si>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</si>
  <si>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</si>
  <si>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</si>
  <si>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</si>
  <si>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</si>
  <si>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</si>
  <si>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</si>
  <si>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</si>
  <si>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</si>
  <si>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</si>
  <si>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</si>
  <si>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</si>
  <si>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</si>
  <si>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</si>
  <si>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</si>
  <si>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</si>
  <si>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</si>
  <si>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</si>
  <si>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</si>
  <si>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</si>
  <si>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</si>
  <si>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</si>
  <si>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</si>
  <si>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</si>
  <si>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</si>
  <si>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</si>
  <si>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</si>
  <si>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</si>
  <si>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</si>
  <si>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</si>
  <si>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</si>
  <si>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</si>
  <si>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</si>
  <si>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</si>
  <si>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</si>
  <si>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</si>
  <si>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</si>
  <si>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</si>
  <si>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</si>
  <si>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</si>
  <si>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</si>
  <si>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</si>
  <si>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</si>
  <si>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</si>
  <si>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</si>
  <si>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</si>
  <si>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</si>
  <si>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</si>
  <si>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</si>
  <si>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</si>
  <si>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</si>
  <si>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</si>
  <si>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</si>
  <si>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</si>
  <si>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</si>
  <si>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</si>
  <si>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</si>
  <si>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</si>
  <si>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</si>
  <si>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</si>
  <si>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</si>
  <si>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</si>
  <si>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</si>
  <si>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</si>
  <si>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</si>
  <si>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</si>
  <si>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</si>
  <si>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</si>
  <si>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</si>
  <si>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</si>
  <si>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</si>
  <si>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</si>
  <si>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</si>
  <si>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</si>
  <si>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</si>
  <si>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</si>
  <si>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</si>
  <si>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</si>
  <si>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</si>
  <si>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</si>
  <si>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</si>
  <si>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</si>
  <si>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</si>
  <si>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</si>
  <si>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</si>
  <si>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</si>
  <si>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</si>
  <si>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</si>
  <si>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</si>
  <si>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</si>
  <si>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</si>
  <si>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</si>
  <si>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</si>
  <si>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</si>
  <si>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</si>
  <si>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</si>
  <si>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</si>
  <si>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</si>
  <si>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</si>
  <si>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</si>
  <si>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</si>
  <si>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</si>
  <si>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</si>
  <si>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</si>
  <si>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</si>
  <si>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</si>
  <si>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</si>
  <si>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</si>
  <si>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</si>
  <si>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</si>
  <si>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</si>
  <si>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</si>
  <si>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</si>
  <si>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</si>
  <si>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</si>
  <si>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</si>
  <si>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</si>
  <si>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</si>
  <si>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</si>
  <si>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</si>
  <si>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</si>
  <si>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</si>
  <si>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</si>
  <si>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</si>
  <si>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</si>
  <si>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</si>
  <si>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</si>
  <si>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</si>
  <si>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</si>
  <si>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</si>
  <si>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</si>
  <si>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</si>
  <si>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</si>
  <si>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</si>
  <si>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</si>
  <si>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</si>
  <si>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</si>
  <si>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</si>
  <si>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</si>
  <si>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</si>
  <si>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</si>
  <si>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</si>
  <si>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</si>
  <si>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</si>
  <si>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</si>
  <si>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</si>
  <si>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</si>
  <si>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</si>
  <si>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</si>
  <si>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</si>
  <si>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</si>
  <si>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</si>
  <si>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</si>
  <si>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</si>
  <si>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</si>
  <si>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</si>
  <si>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</si>
  <si>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</si>
  <si>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</si>
  <si>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</si>
  <si>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</si>
  <si>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</si>
  <si>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</si>
  <si>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</si>
  <si>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</si>
  <si>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</si>
  <si>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</si>
  <si>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</si>
  <si>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</si>
  <si>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</si>
  <si>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</si>
  <si>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</si>
  <si>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</si>
  <si>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</si>
  <si>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</si>
  <si>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</si>
  <si>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</si>
  <si>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</si>
  <si>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</si>
  <si>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</si>
  <si>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</si>
  <si>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</si>
  <si>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</si>
  <si>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</si>
  <si>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</si>
  <si>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</si>
  <si>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</si>
  <si>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</si>
  <si>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</si>
  <si>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</si>
  <si>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</si>
  <si>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</si>
  <si>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</si>
  <si>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</si>
  <si>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</si>
  <si>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</si>
  <si>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</si>
  <si>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</si>
  <si>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</si>
  <si>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</si>
  <si>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</si>
  <si>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</si>
  <si>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</si>
  <si>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</si>
  <si>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</si>
  <si>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</si>
  <si>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</si>
  <si>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</si>
  <si>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</si>
  <si>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</si>
  <si>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</si>
  <si>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</si>
  <si>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</si>
  <si>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</si>
  <si>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</si>
  <si>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</si>
  <si>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</si>
  <si>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</si>
  <si>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</si>
  <si>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</si>
  <si>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</si>
  <si>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</si>
  <si>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</si>
  <si>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</si>
  <si>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</si>
  <si>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</si>
  <si>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</si>
  <si>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</si>
  <si>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</si>
  <si>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</si>
  <si>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</si>
  <si>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</si>
  <si>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</si>
  <si>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</si>
  <si>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</si>
  <si>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</si>
  <si>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</si>
  <si>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</si>
  <si>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</si>
  <si>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</si>
  <si>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</si>
  <si>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</si>
  <si>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</si>
  <si>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</si>
  <si>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</si>
  <si>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</si>
  <si>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</si>
  <si>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</si>
  <si>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</si>
  <si>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</si>
  <si>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</si>
  <si>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</si>
  <si>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</si>
  <si>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</si>
  <si>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</si>
  <si>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</si>
  <si>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</si>
  <si>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</si>
  <si>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</si>
  <si>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</si>
  <si>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</si>
  <si>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</si>
  <si>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</si>
  <si>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</si>
  <si>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</si>
  <si>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</si>
  <si>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</si>
  <si>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</si>
  <si>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</si>
  <si>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</si>
  <si>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</si>
  <si>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</si>
  <si>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</si>
  <si>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</si>
  <si>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</si>
  <si>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</si>
  <si>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</si>
  <si>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</si>
  <si>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</si>
  <si>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</si>
  <si>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</si>
  <si>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</si>
  <si>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</si>
  <si>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</si>
  <si>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</si>
  <si>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</si>
  <si>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</si>
  <si>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</si>
  <si>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</si>
  <si>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</si>
  <si>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</si>
  <si>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</si>
  <si>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</si>
  <si>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</si>
  <si>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</si>
  <si>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</si>
  <si>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</si>
  <si>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</si>
  <si>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</si>
  <si>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</si>
  <si>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</si>
  <si>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</si>
  <si>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</si>
  <si>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</si>
  <si>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</si>
  <si>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</si>
  <si>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</si>
  <si>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</si>
  <si>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</si>
  <si>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</si>
  <si>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</si>
  <si>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</si>
  <si>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</si>
  <si>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</si>
  <si>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</si>
  <si>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</si>
  <si>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</si>
  <si>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</si>
  <si>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</si>
  <si>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</si>
  <si>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</si>
  <si>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</si>
  <si>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</si>
  <si>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</si>
  <si>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</si>
  <si>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</si>
  <si>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</si>
  <si>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</si>
  <si>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</si>
  <si>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</si>
  <si>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</si>
  <si>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</si>
  <si>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</si>
  <si>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</si>
  <si>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</si>
  <si>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</si>
  <si>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</si>
  <si>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</si>
  <si>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</si>
  <si>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</si>
  <si>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</si>
  <si>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</si>
  <si>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</si>
  <si>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</si>
  <si>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</si>
  <si>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</si>
  <si>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</si>
  <si>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</si>
  <si>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</si>
  <si>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</si>
  <si>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</si>
  <si>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</si>
  <si>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</si>
  <si>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</si>
  <si>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</si>
  <si>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</si>
  <si>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</si>
  <si>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</si>
  <si>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</si>
  <si>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</si>
  <si>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</si>
  <si>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</si>
  <si>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</si>
  <si>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</si>
  <si>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</si>
  <si>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</si>
  <si>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</si>
  <si>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</si>
  <si>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</si>
  <si>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</si>
  <si>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</si>
  <si>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</si>
  <si>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</si>
  <si>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</si>
  <si>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</si>
  <si>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</si>
  <si>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</si>
  <si>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</si>
  <si>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</si>
  <si>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</si>
  <si>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</si>
  <si>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</si>
  <si>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</si>
  <si>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</si>
  <si>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</si>
  <si>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</si>
  <si>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</si>
  <si>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</si>
  <si>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</si>
  <si>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</si>
  <si>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</si>
  <si>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</si>
  <si>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</si>
  <si>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</si>
  <si>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</si>
  <si>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</si>
  <si>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</si>
  <si>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</si>
  <si>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</si>
  <si>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</si>
  <si>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</si>
  <si>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</si>
  <si>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</si>
  <si>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</si>
  <si>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</si>
  <si>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</si>
  <si>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</si>
  <si>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</si>
  <si>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</si>
  <si>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</si>
  <si>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</si>
  <si>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</si>
  <si>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</si>
  <si>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</si>
  <si>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</si>
  <si>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</si>
  <si>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</si>
  <si>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</si>
  <si>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</si>
  <si>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</si>
  <si>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</si>
  <si>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</si>
  <si>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</si>
  <si>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</si>
  <si>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</si>
  <si>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</si>
  <si>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</si>
  <si>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</si>
  <si>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</si>
  <si>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</si>
  <si>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</si>
  <si>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</si>
  <si>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</si>
  <si>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</si>
  <si>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</si>
  <si>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</si>
  <si>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</si>
  <si>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</si>
  <si>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</si>
  <si>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</si>
  <si>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</si>
  <si>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</si>
  <si>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</si>
  <si>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</si>
  <si>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</si>
  <si>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</si>
  <si>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</si>
  <si>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</si>
  <si>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</si>
  <si>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</si>
  <si>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</si>
  <si>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</si>
  <si>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</si>
  <si>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</si>
  <si>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</si>
  <si>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</si>
  <si>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</si>
  <si>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</si>
  <si>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</si>
  <si>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</si>
  <si>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</si>
  <si>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</si>
  <si>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</si>
  <si>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</si>
  <si>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</si>
  <si>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</si>
  <si>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</si>
  <si>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</si>
  <si>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</si>
  <si>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</si>
  <si>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</si>
  <si>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</si>
  <si>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</si>
  <si>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</si>
  <si>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</si>
  <si>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</si>
  <si>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</si>
  <si>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</si>
  <si>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</si>
  <si>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</si>
  <si>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</si>
  <si>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</si>
  <si>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</si>
  <si>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</si>
  <si>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</si>
  <si>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</si>
  <si>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</si>
  <si>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</si>
  <si>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</si>
  <si>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</si>
  <si>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</si>
  <si>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</si>
  <si>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</si>
  <si>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</si>
  <si>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</si>
  <si>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</si>
  <si>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</si>
  <si>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</si>
  <si>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</si>
  <si>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</si>
  <si>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</si>
  <si>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</si>
  <si>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</si>
  <si>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</si>
  <si>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</si>
  <si>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</si>
  <si>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</si>
  <si>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</si>
  <si>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</si>
  <si>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</si>
  <si>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</si>
  <si>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</si>
  <si>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</si>
  <si>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</si>
  <si>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</si>
  <si>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</si>
  <si>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</si>
  <si>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</si>
  <si>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</si>
  <si>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</si>
  <si>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</si>
  <si>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</si>
  <si>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</si>
  <si>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</si>
  <si>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</si>
  <si>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</si>
  <si>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</si>
  <si>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</si>
  <si>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</si>
  <si>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</si>
  <si>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</si>
  <si>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</si>
  <si>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</si>
  <si>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</si>
  <si>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</si>
  <si>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</si>
  <si>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</si>
  <si>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</si>
  <si>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</si>
  <si>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</si>
  <si>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</si>
  <si>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</si>
  <si>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</si>
  <si>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</si>
  <si>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</si>
  <si>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</si>
  <si>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</si>
  <si>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</si>
  <si>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</si>
  <si>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</si>
  <si>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</si>
  <si>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</si>
  <si>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</si>
  <si>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</si>
  <si>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</si>
  <si>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</si>
  <si>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</si>
  <si>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</si>
  <si>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</si>
  <si>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</si>
  <si>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</si>
  <si>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</si>
  <si>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</si>
  <si>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</si>
  <si>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</si>
  <si>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</si>
  <si>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</si>
  <si>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</si>
  <si>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</si>
  <si>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</si>
  <si>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</si>
  <si>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</si>
  <si>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</si>
  <si>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</si>
  <si>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</si>
  <si>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</si>
  <si>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</si>
  <si>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</si>
  <si>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</si>
  <si>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</si>
  <si>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</si>
  <si>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</si>
  <si>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</si>
  <si>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</si>
  <si>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</si>
  <si>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</si>
  <si>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</si>
  <si>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</si>
  <si>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</si>
  <si>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</si>
  <si>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</si>
  <si>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</si>
  <si>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</si>
  <si>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</si>
  <si>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</si>
  <si>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</si>
  <si>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</si>
  <si>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</si>
  <si>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</si>
  <si>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</si>
  <si>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</si>
  <si>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</si>
  <si>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</si>
  <si>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</si>
  <si>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</si>
  <si>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</si>
  <si>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</si>
  <si>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</si>
  <si>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</si>
  <si>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</si>
  <si>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</si>
  <si>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</si>
  <si>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</si>
  <si>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</si>
  <si>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</si>
  <si>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</si>
  <si>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</si>
  <si>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</si>
  <si>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</si>
  <si>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</si>
  <si>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</si>
  <si>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</si>
  <si>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</si>
  <si>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</si>
  <si>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</si>
  <si>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</si>
  <si>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</si>
  <si>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</si>
  <si>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</si>
  <si>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</si>
  <si>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</si>
  <si>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</si>
  <si>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</si>
  <si>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</si>
  <si>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</si>
  <si>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</si>
  <si>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</si>
  <si>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</si>
  <si>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</si>
  <si>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</si>
  <si>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</si>
  <si>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</si>
  <si>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</si>
  <si>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</si>
  <si>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</si>
  <si>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</si>
  <si>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</si>
  <si>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</si>
  <si>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</si>
  <si>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</si>
  <si>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</si>
  <si>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</si>
  <si>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</si>
  <si>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</si>
  <si>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</si>
  <si>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</si>
  <si>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</si>
  <si>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</si>
  <si>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</si>
  <si>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</si>
  <si>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</si>
  <si>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</si>
  <si>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</si>
  <si>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</si>
  <si>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</si>
  <si>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</si>
  <si>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</si>
  <si>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</si>
  <si>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</si>
  <si>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</si>
  <si>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</si>
  <si>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</si>
  <si>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</si>
  <si>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</si>
  <si>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</si>
  <si>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</si>
  <si>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</si>
  <si>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</si>
  <si>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</si>
  <si>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</si>
  <si>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</si>
  <si>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</si>
  <si>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</si>
  <si>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</si>
  <si>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</si>
  <si>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</si>
  <si>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</si>
  <si>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</si>
  <si>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</si>
  <si>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</si>
  <si>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</si>
  <si>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</si>
  <si>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</si>
  <si>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</si>
  <si>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</si>
  <si>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</si>
  <si>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</si>
  <si>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</si>
  <si>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</si>
  <si>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</si>
  <si>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</si>
  <si>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</si>
  <si>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</si>
  <si>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</si>
  <si>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</si>
  <si>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</si>
  <si>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</si>
  <si>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</si>
  <si>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</si>
  <si>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</si>
  <si>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</si>
  <si>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</si>
  <si>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</si>
  <si>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</si>
  <si>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</si>
  <si>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</si>
  <si>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</si>
  <si>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</si>
  <si>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</si>
  <si>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</si>
  <si>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</si>
  <si>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</si>
  <si>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</si>
  <si>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</si>
  <si>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</si>
  <si>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</si>
  <si>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</si>
  <si>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</si>
  <si>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</si>
  <si>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</si>
  <si>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</si>
  <si>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</si>
  <si>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</si>
  <si>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</si>
  <si>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</si>
  <si>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</si>
  <si>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</si>
  <si>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</si>
  <si>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</si>
  <si>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</si>
  <si>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</si>
  <si>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</si>
  <si>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</si>
  <si>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</si>
  <si>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</si>
  <si>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</si>
  <si>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</si>
  <si>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</si>
  <si>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</si>
  <si>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</si>
  <si>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</si>
  <si>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</si>
  <si>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</si>
  <si>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</si>
  <si>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</si>
  <si>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</si>
  <si>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</si>
  <si>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</si>
  <si>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</si>
  <si>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</si>
  <si>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</si>
  <si>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</si>
  <si>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</si>
  <si>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</si>
  <si>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</si>
  <si>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</si>
  <si>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</si>
  <si>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</si>
  <si>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</si>
  <si>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</si>
  <si>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</si>
  <si>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</si>
  <si>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</si>
  <si>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</si>
  <si>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</si>
  <si>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</si>
  <si>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</si>
  <si>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</si>
  <si>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</si>
  <si>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</si>
  <si>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</si>
  <si>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</si>
  <si>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</si>
  <si>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</si>
  <si>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</si>
  <si>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</si>
  <si>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</si>
  <si>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</si>
  <si>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</si>
  <si>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</si>
  <si>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</si>
  <si>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</si>
  <si>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</si>
  <si>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</si>
  <si>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</si>
  <si>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</si>
  <si>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</si>
  <si>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</si>
  <si>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</si>
  <si>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</si>
  <si>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</si>
  <si>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</si>
  <si>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</si>
  <si>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</si>
  <si>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</si>
  <si>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</si>
  <si>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</si>
  <si>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</si>
  <si>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</si>
  <si>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</si>
  <si>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</si>
  <si>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</si>
  <si>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</si>
  <si>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</si>
  <si>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</si>
  <si>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</si>
  <si>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</si>
  <si>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</si>
  <si>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</si>
  <si>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</si>
  <si>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</si>
  <si>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</si>
  <si>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</si>
  <si>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</si>
  <si>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</si>
  <si>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</si>
  <si>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</si>
  <si>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</si>
  <si>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</si>
  <si>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</si>
  <si>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</si>
  <si>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</si>
  <si>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</si>
  <si>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</si>
  <si>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</si>
  <si>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</si>
  <si>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</si>
  <si>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</si>
  <si>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</si>
  <si>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</si>
  <si>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</si>
  <si>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</si>
  <si>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</si>
  <si>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</si>
  <si>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</si>
  <si>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</si>
  <si>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</si>
  <si>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</si>
  <si>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</si>
  <si>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</si>
  <si>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</si>
  <si>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</si>
  <si>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</si>
  <si>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</si>
  <si>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</si>
  <si>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</si>
  <si>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</si>
  <si>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</si>
  <si>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</si>
  <si>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</si>
  <si>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</si>
  <si>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</si>
  <si>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</si>
  <si>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</si>
  <si>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</si>
  <si>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</si>
  <si>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Aging</t>
  </si>
  <si>
    <t>Date of report</t>
  </si>
  <si>
    <t>Window missed %</t>
  </si>
  <si>
    <t>Change Window missed</t>
  </si>
  <si>
    <t>Planned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</si>
</sst>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bhankar%20SPD%20V%200.0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nsolidated Performance Audit"/>
      <sheetName val="Atlas"/>
      <sheetName val="Transformers"/>
      <sheetName val="Raw Data"/>
      <sheetName val="Main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L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H19" sqref="H19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  <col min="10" max="10" width="13.5703125" bestFit="1" customWidth="1"/>
    <col min="11" max="11" width="8" customWidth="1"/>
    <col min="12" max="12" width="15.5703125" customWidth="1"/>
  </cols>
  <sheetData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  <c r="J5" s="26" t="s">
        <v>1194</v>
      </c>
      <c r="L5" s="29">
        <v>43100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A10" zoomScale="89" zoomScaleNormal="89" workbookViewId="0">
      <selection activeCell="W13" sqref="W13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5" t="s">
        <v>1179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6"/>
    </row>
    <row r="3" spans="1:33" ht="30" customHeight="1" thickBot="1" x14ac:dyDescent="0.3">
      <c r="A3" s="146" t="s">
        <v>670</v>
      </c>
      <c r="B3" s="146" t="s">
        <v>1178</v>
      </c>
      <c r="C3" s="135" t="s">
        <v>1116</v>
      </c>
      <c r="D3" s="117" t="s">
        <v>1126</v>
      </c>
      <c r="E3" s="118"/>
      <c r="F3" s="118"/>
      <c r="G3" s="118"/>
      <c r="H3" s="121"/>
      <c r="I3" s="117" t="s">
        <v>1141</v>
      </c>
      <c r="J3" s="118"/>
      <c r="K3" s="118"/>
      <c r="L3" s="118"/>
      <c r="M3" s="118"/>
      <c r="N3" s="119" t="s">
        <v>1173</v>
      </c>
      <c r="O3" s="118"/>
      <c r="P3" s="118"/>
      <c r="Q3" s="118"/>
      <c r="R3" s="120"/>
      <c r="S3" s="135" t="s">
        <v>1116</v>
      </c>
      <c r="T3" s="119" t="s">
        <v>1128</v>
      </c>
      <c r="U3" s="118"/>
      <c r="V3" s="118"/>
      <c r="W3" s="118"/>
      <c r="X3" s="120"/>
    </row>
    <row r="4" spans="1:33" ht="30" customHeight="1" thickTop="1" thickBot="1" x14ac:dyDescent="0.3">
      <c r="A4" s="147"/>
      <c r="B4" s="14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9" t="s">
        <v>1180</v>
      </c>
      <c r="B5" s="13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30"/>
      <c r="B6" s="13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0"/>
      <c r="B7" s="13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30"/>
      <c r="B8" s="13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31"/>
      <c r="B9" s="13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2" t="s">
        <v>1192</v>
      </c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6"/>
    </row>
    <row r="12" spans="1:33" ht="25.5" customHeight="1" thickBot="1" x14ac:dyDescent="0.3">
      <c r="A12" s="63"/>
      <c r="C12" s="125" t="s">
        <v>1135</v>
      </c>
      <c r="D12" s="118" t="s">
        <v>1136</v>
      </c>
      <c r="E12" s="118"/>
      <c r="F12" s="118"/>
      <c r="G12" s="118"/>
      <c r="H12" s="121"/>
      <c r="I12" s="117" t="s">
        <v>1141</v>
      </c>
      <c r="J12" s="118"/>
      <c r="K12" s="118"/>
      <c r="L12" s="118"/>
      <c r="M12" s="118"/>
      <c r="N12" s="119" t="s">
        <v>1173</v>
      </c>
      <c r="O12" s="118"/>
      <c r="P12" s="118"/>
      <c r="Q12" s="118"/>
      <c r="R12" s="120"/>
    </row>
    <row r="13" spans="1:33" ht="25.5" customHeight="1" thickTop="1" thickBot="1" x14ac:dyDescent="0.3">
      <c r="A13" s="63"/>
      <c r="C13" s="12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2</v>
      </c>
      <c r="F22" s="16">
        <v>17</v>
      </c>
      <c r="G22" s="16">
        <v>7</v>
      </c>
      <c r="H22" s="17">
        <f>SUM(D22:G22)</f>
        <v>26</v>
      </c>
      <c r="I22" s="16">
        <v>0</v>
      </c>
      <c r="J22" s="16">
        <v>9</v>
      </c>
      <c r="K22" s="16">
        <v>185</v>
      </c>
      <c r="L22" s="16">
        <v>2</v>
      </c>
      <c r="M22" s="17">
        <f>SUM(I22:L22)</f>
        <v>196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2</v>
      </c>
      <c r="F23" s="56">
        <v>17</v>
      </c>
      <c r="G23" s="56">
        <v>7</v>
      </c>
      <c r="H23" s="60">
        <f>SUM(H14:H22)</f>
        <v>26</v>
      </c>
      <c r="I23" s="56">
        <v>0</v>
      </c>
      <c r="J23" s="56">
        <v>9</v>
      </c>
      <c r="K23" s="56">
        <v>185</v>
      </c>
      <c r="L23" s="56">
        <v>2</v>
      </c>
      <c r="M23" s="60">
        <f>SUM(M14:M22)</f>
        <v>196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3" t="s">
        <v>1191</v>
      </c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5"/>
    </row>
    <row r="26" spans="1:27" ht="24.75" customHeight="1" thickBot="1" x14ac:dyDescent="0.3">
      <c r="C26" s="138"/>
      <c r="D26" s="118" t="s">
        <v>1136</v>
      </c>
      <c r="E26" s="118"/>
      <c r="F26" s="118"/>
      <c r="G26" s="118"/>
      <c r="H26" s="121"/>
      <c r="I26" s="117" t="s">
        <v>1141</v>
      </c>
      <c r="J26" s="118"/>
      <c r="K26" s="118"/>
      <c r="L26" s="118"/>
      <c r="M26" s="118"/>
      <c r="N26" s="119" t="s">
        <v>1173</v>
      </c>
      <c r="O26" s="118"/>
      <c r="P26" s="118"/>
      <c r="Q26" s="118"/>
      <c r="R26" s="120"/>
    </row>
    <row r="27" spans="1:27" ht="21.75" customHeight="1" thickTop="1" thickBot="1" x14ac:dyDescent="0.3">
      <c r="C27" s="139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9" t="s">
        <v>1190</v>
      </c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1"/>
    </row>
    <row r="32" spans="1:27" ht="32.25" customHeight="1" thickBot="1" x14ac:dyDescent="0.3">
      <c r="A32" s="127" t="s">
        <v>670</v>
      </c>
      <c r="B32" s="114" t="s">
        <v>1132</v>
      </c>
      <c r="C32" s="43" t="s">
        <v>1116</v>
      </c>
      <c r="D32" s="122" t="s">
        <v>1126</v>
      </c>
      <c r="E32" s="123"/>
      <c r="F32" s="123"/>
      <c r="G32" s="123"/>
      <c r="H32" s="124"/>
      <c r="I32" s="122" t="s">
        <v>1127</v>
      </c>
      <c r="J32" s="123"/>
      <c r="K32" s="123"/>
      <c r="L32" s="123"/>
      <c r="M32" s="124"/>
      <c r="N32" s="122" t="s">
        <v>1173</v>
      </c>
      <c r="O32" s="123"/>
      <c r="P32" s="123"/>
      <c r="Q32" s="123"/>
      <c r="R32" s="124"/>
      <c r="S32" s="122" t="s">
        <v>1128</v>
      </c>
      <c r="T32" s="123"/>
      <c r="U32" s="123"/>
      <c r="V32" s="123"/>
      <c r="W32" s="137"/>
    </row>
    <row r="33" spans="1:40" ht="32.1" customHeight="1" thickTop="1" thickBot="1" x14ac:dyDescent="0.3">
      <c r="A33" s="12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3" t="s">
        <v>1180</v>
      </c>
      <c r="B34" s="140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93"/>
      <c r="Y34" s="193"/>
      <c r="Z34" s="193"/>
      <c r="AA34" s="193"/>
      <c r="AB34" s="193"/>
      <c r="AC34" s="192"/>
      <c r="AD34" s="193"/>
      <c r="AE34" s="193"/>
      <c r="AF34" s="193"/>
      <c r="AG34" s="193"/>
      <c r="AH34" s="192"/>
      <c r="AI34" s="193"/>
      <c r="AJ34" s="193"/>
      <c r="AK34" s="193"/>
      <c r="AL34" s="193"/>
      <c r="AM34" s="192"/>
    </row>
    <row r="35" spans="1:40" ht="30" customHeight="1" thickBot="1" x14ac:dyDescent="0.3">
      <c r="A35" s="144"/>
      <c r="B35" s="141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93"/>
      <c r="Y35" s="193"/>
      <c r="Z35" s="193"/>
      <c r="AA35" s="193"/>
      <c r="AB35" s="193"/>
      <c r="AC35" s="192"/>
      <c r="AD35" s="193"/>
      <c r="AE35" s="193"/>
      <c r="AF35" s="193"/>
      <c r="AG35" s="193"/>
      <c r="AH35" s="192"/>
      <c r="AI35" s="193"/>
      <c r="AJ35" s="193"/>
      <c r="AK35" s="193"/>
      <c r="AL35" s="193"/>
      <c r="AM35" s="192"/>
    </row>
    <row r="36" spans="1:40" ht="30" customHeight="1" thickBot="1" x14ac:dyDescent="0.3">
      <c r="A36" s="144"/>
      <c r="B36" s="141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93"/>
      <c r="Y36" s="193"/>
      <c r="Z36" s="193"/>
      <c r="AA36" s="193"/>
      <c r="AB36" s="193"/>
      <c r="AC36" s="192"/>
      <c r="AD36" s="193"/>
      <c r="AE36" s="193"/>
      <c r="AF36" s="193"/>
      <c r="AG36" s="193"/>
      <c r="AH36" s="192"/>
      <c r="AI36" s="193"/>
      <c r="AJ36" s="193"/>
      <c r="AK36" s="193"/>
      <c r="AL36" s="193"/>
      <c r="AM36" s="192"/>
    </row>
    <row r="37" spans="1:40" ht="30" customHeight="1" thickBot="1" x14ac:dyDescent="0.3">
      <c r="A37" s="144"/>
      <c r="B37" s="141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93"/>
      <c r="Y37" s="193"/>
      <c r="Z37" s="193"/>
      <c r="AA37" s="193"/>
      <c r="AB37" s="193"/>
      <c r="AC37" s="192"/>
      <c r="AD37" s="193"/>
      <c r="AE37" s="193"/>
      <c r="AF37" s="193"/>
      <c r="AG37" s="193"/>
      <c r="AH37" s="192"/>
      <c r="AI37" s="193"/>
      <c r="AJ37" s="193"/>
      <c r="AK37" s="193"/>
      <c r="AL37" s="193"/>
      <c r="AM37" s="192"/>
    </row>
    <row r="38" spans="1:40" ht="30" customHeight="1" thickBot="1" x14ac:dyDescent="0.3">
      <c r="A38" s="144"/>
      <c r="B38" s="141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4"/>
      <c r="B39" s="141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4"/>
      <c r="B40" s="141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4"/>
      <c r="B41" s="141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4"/>
      <c r="B42" s="141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4"/>
      <c r="B43" s="141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4"/>
      <c r="B44" s="141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4"/>
      <c r="B45" s="141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4"/>
      <c r="B46" s="141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4"/>
      <c r="B47" s="141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5"/>
      <c r="B48" s="142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A5:A9"/>
    <mergeCell ref="B5:B9"/>
    <mergeCell ref="N3:R3"/>
    <mergeCell ref="C3:C4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21" sqref="M21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670</v>
      </c>
      <c r="B1" s="182"/>
      <c r="C1" s="183"/>
      <c r="D1" s="186" t="s">
        <v>1163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1168</v>
      </c>
      <c r="BA1" s="172" t="s">
        <v>1164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1132</v>
      </c>
      <c r="C2" s="76" t="s">
        <v>1165</v>
      </c>
      <c r="D2" s="119" t="s">
        <v>1126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20"/>
      <c r="S2" s="119" t="s">
        <v>1127</v>
      </c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20"/>
      <c r="AH2" s="119" t="s">
        <v>1173</v>
      </c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20"/>
      <c r="AW2" s="166" t="s">
        <v>1139</v>
      </c>
      <c r="AX2" s="167"/>
      <c r="AY2" s="168"/>
      <c r="AZ2" s="157"/>
      <c r="BA2" s="119" t="s">
        <v>1126</v>
      </c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20"/>
      <c r="BP2" s="119" t="s">
        <v>1127</v>
      </c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20"/>
      <c r="CE2" s="119" t="s">
        <v>1173</v>
      </c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20"/>
      <c r="CT2" s="166" t="s">
        <v>1167</v>
      </c>
      <c r="CU2" s="167"/>
      <c r="CV2" s="168"/>
    </row>
    <row r="3" spans="1:100" ht="25.5" customHeight="1" thickTop="1" thickBot="1" x14ac:dyDescent="0.3">
      <c r="A3" s="180"/>
      <c r="B3" s="190"/>
      <c r="C3" s="65" t="s">
        <v>1166</v>
      </c>
      <c r="D3" s="162" t="s">
        <v>1120</v>
      </c>
      <c r="E3" s="163"/>
      <c r="F3" s="164"/>
      <c r="G3" s="165" t="s">
        <v>1121</v>
      </c>
      <c r="H3" s="163"/>
      <c r="I3" s="164"/>
      <c r="J3" s="165" t="s">
        <v>1122</v>
      </c>
      <c r="K3" s="163"/>
      <c r="L3" s="164"/>
      <c r="M3" s="165" t="s">
        <v>1123</v>
      </c>
      <c r="N3" s="163"/>
      <c r="O3" s="164"/>
      <c r="P3" s="159" t="s">
        <v>1151</v>
      </c>
      <c r="Q3" s="160"/>
      <c r="R3" s="161"/>
      <c r="S3" s="162" t="s">
        <v>1120</v>
      </c>
      <c r="T3" s="163"/>
      <c r="U3" s="164"/>
      <c r="V3" s="165" t="s">
        <v>1121</v>
      </c>
      <c r="W3" s="163"/>
      <c r="X3" s="164"/>
      <c r="Y3" s="165" t="s">
        <v>1122</v>
      </c>
      <c r="Z3" s="163"/>
      <c r="AA3" s="164"/>
      <c r="AB3" s="165" t="s">
        <v>1123</v>
      </c>
      <c r="AC3" s="163"/>
      <c r="AD3" s="164"/>
      <c r="AE3" s="159" t="s">
        <v>1151</v>
      </c>
      <c r="AF3" s="160"/>
      <c r="AG3" s="161"/>
      <c r="AH3" s="162" t="s">
        <v>1120</v>
      </c>
      <c r="AI3" s="163"/>
      <c r="AJ3" s="164"/>
      <c r="AK3" s="165" t="s">
        <v>1121</v>
      </c>
      <c r="AL3" s="163"/>
      <c r="AM3" s="164"/>
      <c r="AN3" s="165" t="s">
        <v>1122</v>
      </c>
      <c r="AO3" s="163"/>
      <c r="AP3" s="164"/>
      <c r="AQ3" s="165" t="s">
        <v>1123</v>
      </c>
      <c r="AR3" s="163"/>
      <c r="AS3" s="164"/>
      <c r="AT3" s="159" t="s">
        <v>1151</v>
      </c>
      <c r="AU3" s="160"/>
      <c r="AV3" s="161"/>
      <c r="AW3" s="169"/>
      <c r="AX3" s="170"/>
      <c r="AY3" s="171"/>
      <c r="AZ3" s="157"/>
      <c r="BA3" s="162" t="s">
        <v>1120</v>
      </c>
      <c r="BB3" s="163"/>
      <c r="BC3" s="164"/>
      <c r="BD3" s="165" t="s">
        <v>1121</v>
      </c>
      <c r="BE3" s="163"/>
      <c r="BF3" s="164"/>
      <c r="BG3" s="165" t="s">
        <v>1122</v>
      </c>
      <c r="BH3" s="163"/>
      <c r="BI3" s="164"/>
      <c r="BJ3" s="165" t="s">
        <v>1123</v>
      </c>
      <c r="BK3" s="163"/>
      <c r="BL3" s="164"/>
      <c r="BM3" s="159" t="s">
        <v>1151</v>
      </c>
      <c r="BN3" s="160"/>
      <c r="BO3" s="161"/>
      <c r="BP3" s="162" t="s">
        <v>1120</v>
      </c>
      <c r="BQ3" s="163"/>
      <c r="BR3" s="164"/>
      <c r="BS3" s="165" t="s">
        <v>1121</v>
      </c>
      <c r="BT3" s="163"/>
      <c r="BU3" s="164"/>
      <c r="BV3" s="165" t="s">
        <v>1122</v>
      </c>
      <c r="BW3" s="163"/>
      <c r="BX3" s="164"/>
      <c r="BY3" s="165" t="s">
        <v>1123</v>
      </c>
      <c r="BZ3" s="163"/>
      <c r="CA3" s="164"/>
      <c r="CB3" s="159" t="s">
        <v>1151</v>
      </c>
      <c r="CC3" s="160"/>
      <c r="CD3" s="161"/>
      <c r="CE3" s="162" t="s">
        <v>1120</v>
      </c>
      <c r="CF3" s="163"/>
      <c r="CG3" s="164"/>
      <c r="CH3" s="165" t="s">
        <v>1121</v>
      </c>
      <c r="CI3" s="163"/>
      <c r="CJ3" s="164"/>
      <c r="CK3" s="165" t="s">
        <v>1122</v>
      </c>
      <c r="CL3" s="163"/>
      <c r="CM3" s="164"/>
      <c r="CN3" s="165" t="s">
        <v>1123</v>
      </c>
      <c r="CO3" s="163"/>
      <c r="CP3" s="164"/>
      <c r="CQ3" s="159" t="s">
        <v>1151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58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5" t="s">
        <v>1180</v>
      </c>
      <c r="B5" s="184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5"/>
      <c r="B6" s="184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5"/>
      <c r="B7" s="184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5"/>
      <c r="B8" s="184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5"/>
      <c r="B9" s="184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5"/>
      <c r="B10" s="184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5"/>
      <c r="B11" s="184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5"/>
      <c r="B12" s="184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5"/>
      <c r="B13" s="184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5"/>
      <c r="B14" s="185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5" t="s">
        <v>1180</v>
      </c>
      <c r="B15" s="176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5"/>
      <c r="B16" s="177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5"/>
      <c r="B17" s="177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5"/>
      <c r="B18" s="177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5"/>
      <c r="B19" s="177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5"/>
      <c r="B20" s="177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5"/>
      <c r="B21" s="177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5"/>
      <c r="B22" s="177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5"/>
      <c r="B23" s="177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5"/>
      <c r="B24" s="178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10" zoomScale="89" zoomScaleNormal="89" workbookViewId="0">
      <selection activeCell="W13" sqref="W13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5" t="s">
        <v>1179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6"/>
    </row>
    <row r="3" spans="1:33" ht="30" customHeight="1" thickBot="1" x14ac:dyDescent="0.3">
      <c r="A3" s="146" t="s">
        <v>670</v>
      </c>
      <c r="B3" s="146" t="s">
        <v>1178</v>
      </c>
      <c r="C3" s="135" t="s">
        <v>1116</v>
      </c>
      <c r="D3" s="117" t="s">
        <v>1126</v>
      </c>
      <c r="E3" s="118"/>
      <c r="F3" s="118"/>
      <c r="G3" s="118"/>
      <c r="H3" s="121"/>
      <c r="I3" s="117" t="s">
        <v>1141</v>
      </c>
      <c r="J3" s="118"/>
      <c r="K3" s="118"/>
      <c r="L3" s="118"/>
      <c r="M3" s="118"/>
      <c r="N3" s="119" t="s">
        <v>1173</v>
      </c>
      <c r="O3" s="118"/>
      <c r="P3" s="118"/>
      <c r="Q3" s="118"/>
      <c r="R3" s="120"/>
      <c r="S3" s="135" t="s">
        <v>1116</v>
      </c>
      <c r="T3" s="119" t="s">
        <v>1128</v>
      </c>
      <c r="U3" s="118"/>
      <c r="V3" s="118"/>
      <c r="W3" s="118"/>
      <c r="X3" s="120"/>
    </row>
    <row r="4" spans="1:33" ht="30" customHeight="1" thickTop="1" thickBot="1" x14ac:dyDescent="0.3">
      <c r="A4" s="147"/>
      <c r="B4" s="14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9" t="s">
        <v>1180</v>
      </c>
      <c r="B5" s="13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30"/>
      <c r="B6" s="13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0"/>
      <c r="B7" s="13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30"/>
      <c r="B8" s="13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31"/>
      <c r="B9" s="13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2" t="s">
        <v>1192</v>
      </c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6"/>
    </row>
    <row r="12" spans="1:33" ht="25.5" customHeight="1" thickBot="1" x14ac:dyDescent="0.3">
      <c r="A12" s="63"/>
      <c r="C12" s="125" t="s">
        <v>1135</v>
      </c>
      <c r="D12" s="118" t="s">
        <v>1136</v>
      </c>
      <c r="E12" s="118"/>
      <c r="F12" s="118"/>
      <c r="G12" s="118"/>
      <c r="H12" s="121"/>
      <c r="I12" s="117" t="s">
        <v>1141</v>
      </c>
      <c r="J12" s="118"/>
      <c r="K12" s="118"/>
      <c r="L12" s="118"/>
      <c r="M12" s="118"/>
      <c r="N12" s="119" t="s">
        <v>1173</v>
      </c>
      <c r="O12" s="118"/>
      <c r="P12" s="118"/>
      <c r="Q12" s="118"/>
      <c r="R12" s="120"/>
    </row>
    <row r="13" spans="1:33" ht="25.5" customHeight="1" thickTop="1" thickBot="1" x14ac:dyDescent="0.3">
      <c r="A13" s="63"/>
      <c r="C13" s="12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5</v>
      </c>
      <c r="G22" s="16">
        <v>1</v>
      </c>
      <c r="H22" s="17">
        <f>SUM(D22:G22)</f>
        <v>6</v>
      </c>
      <c r="I22" s="16">
        <v>0</v>
      </c>
      <c r="J22" s="16">
        <v>0</v>
      </c>
      <c r="K22" s="16">
        <v>1</v>
      </c>
      <c r="L22" s="16">
        <v>0</v>
      </c>
      <c r="M22" s="17">
        <f>SUM(I22:L22)</f>
        <v>1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5</v>
      </c>
      <c r="G23" s="56">
        <v>1</v>
      </c>
      <c r="H23" s="60">
        <f>SUM(H14:H22)</f>
        <v>6</v>
      </c>
      <c r="I23" s="56">
        <v>0</v>
      </c>
      <c r="J23" s="56">
        <v>0</v>
      </c>
      <c r="K23" s="56">
        <v>1</v>
      </c>
      <c r="L23" s="56">
        <v>0</v>
      </c>
      <c r="M23" s="60">
        <f>SUM(M14:M22)</f>
        <v>1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3" t="s">
        <v>1191</v>
      </c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5"/>
    </row>
    <row r="26" spans="1:27" ht="24.75" customHeight="1" thickBot="1" x14ac:dyDescent="0.3">
      <c r="C26" s="138"/>
      <c r="D26" s="118" t="s">
        <v>1136</v>
      </c>
      <c r="E26" s="118"/>
      <c r="F26" s="118"/>
      <c r="G26" s="118"/>
      <c r="H26" s="121"/>
      <c r="I26" s="117" t="s">
        <v>1141</v>
      </c>
      <c r="J26" s="118"/>
      <c r="K26" s="118"/>
      <c r="L26" s="118"/>
      <c r="M26" s="118"/>
      <c r="N26" s="119" t="s">
        <v>1173</v>
      </c>
      <c r="O26" s="118"/>
      <c r="P26" s="118"/>
      <c r="Q26" s="118"/>
      <c r="R26" s="120"/>
    </row>
    <row r="27" spans="1:27" ht="21.75" customHeight="1" thickTop="1" thickBot="1" x14ac:dyDescent="0.3">
      <c r="C27" s="139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9" t="s">
        <v>1190</v>
      </c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1"/>
    </row>
    <row r="32" spans="1:27" ht="32.25" customHeight="1" thickBot="1" x14ac:dyDescent="0.3">
      <c r="A32" s="127" t="s">
        <v>670</v>
      </c>
      <c r="B32" s="114" t="s">
        <v>1132</v>
      </c>
      <c r="C32" s="43" t="s">
        <v>1116</v>
      </c>
      <c r="D32" s="122" t="s">
        <v>1126</v>
      </c>
      <c r="E32" s="123"/>
      <c r="F32" s="123"/>
      <c r="G32" s="123"/>
      <c r="H32" s="124"/>
      <c r="I32" s="122" t="s">
        <v>1127</v>
      </c>
      <c r="J32" s="123"/>
      <c r="K32" s="123"/>
      <c r="L32" s="123"/>
      <c r="M32" s="124"/>
      <c r="N32" s="122" t="s">
        <v>1173</v>
      </c>
      <c r="O32" s="123"/>
      <c r="P32" s="123"/>
      <c r="Q32" s="123"/>
      <c r="R32" s="124"/>
      <c r="S32" s="122" t="s">
        <v>1128</v>
      </c>
      <c r="T32" s="123"/>
      <c r="U32" s="123"/>
      <c r="V32" s="123"/>
      <c r="W32" s="137"/>
    </row>
    <row r="33" spans="1:40" ht="32.1" customHeight="1" thickTop="1" thickBot="1" x14ac:dyDescent="0.3">
      <c r="A33" s="12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3" t="s">
        <v>1180</v>
      </c>
      <c r="B34" s="140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93"/>
      <c r="Y34" s="193"/>
      <c r="Z34" s="193"/>
      <c r="AA34" s="193"/>
      <c r="AB34" s="193"/>
      <c r="AC34" s="192"/>
      <c r="AD34" s="193"/>
      <c r="AE34" s="193"/>
      <c r="AF34" s="193"/>
      <c r="AG34" s="193"/>
      <c r="AH34" s="192"/>
      <c r="AI34" s="193"/>
      <c r="AJ34" s="193"/>
      <c r="AK34" s="193"/>
      <c r="AL34" s="193"/>
      <c r="AM34" s="192"/>
    </row>
    <row r="35" spans="1:40" ht="30" customHeight="1" thickBot="1" x14ac:dyDescent="0.3">
      <c r="A35" s="144"/>
      <c r="B35" s="141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93"/>
      <c r="Y35" s="193"/>
      <c r="Z35" s="193"/>
      <c r="AA35" s="193"/>
      <c r="AB35" s="193"/>
      <c r="AC35" s="192"/>
      <c r="AD35" s="193"/>
      <c r="AE35" s="193"/>
      <c r="AF35" s="193"/>
      <c r="AG35" s="193"/>
      <c r="AH35" s="192"/>
      <c r="AI35" s="193"/>
      <c r="AJ35" s="193"/>
      <c r="AK35" s="193"/>
      <c r="AL35" s="193"/>
      <c r="AM35" s="192"/>
    </row>
    <row r="36" spans="1:40" ht="30" customHeight="1" thickBot="1" x14ac:dyDescent="0.3">
      <c r="A36" s="144"/>
      <c r="B36" s="141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93"/>
      <c r="Y36" s="193"/>
      <c r="Z36" s="193"/>
      <c r="AA36" s="193"/>
      <c r="AB36" s="193"/>
      <c r="AC36" s="192"/>
      <c r="AD36" s="193"/>
      <c r="AE36" s="193"/>
      <c r="AF36" s="193"/>
      <c r="AG36" s="193"/>
      <c r="AH36" s="192"/>
      <c r="AI36" s="193"/>
      <c r="AJ36" s="193"/>
      <c r="AK36" s="193"/>
      <c r="AL36" s="193"/>
      <c r="AM36" s="192"/>
    </row>
    <row r="37" spans="1:40" ht="30" customHeight="1" thickBot="1" x14ac:dyDescent="0.3">
      <c r="A37" s="144"/>
      <c r="B37" s="141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93"/>
      <c r="Y37" s="193"/>
      <c r="Z37" s="193"/>
      <c r="AA37" s="193"/>
      <c r="AB37" s="193"/>
      <c r="AC37" s="192"/>
      <c r="AD37" s="193"/>
      <c r="AE37" s="193"/>
      <c r="AF37" s="193"/>
      <c r="AG37" s="193"/>
      <c r="AH37" s="192"/>
      <c r="AI37" s="193"/>
      <c r="AJ37" s="193"/>
      <c r="AK37" s="193"/>
      <c r="AL37" s="193"/>
      <c r="AM37" s="192"/>
    </row>
    <row r="38" spans="1:40" ht="30" customHeight="1" thickBot="1" x14ac:dyDescent="0.3">
      <c r="A38" s="144"/>
      <c r="B38" s="141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4"/>
      <c r="B39" s="141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4"/>
      <c r="B40" s="141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4"/>
      <c r="B41" s="141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4"/>
      <c r="B42" s="141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4"/>
      <c r="B43" s="141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4"/>
      <c r="B44" s="141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4"/>
      <c r="B45" s="141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4"/>
      <c r="B46" s="141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4"/>
      <c r="B47" s="141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5"/>
      <c r="B48" s="142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abSelected="1" topLeftCell="A13" zoomScale="89" zoomScaleNormal="89" workbookViewId="0">
      <selection activeCell="D20" sqref="D20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5" t="s">
        <v>1179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6"/>
    </row>
    <row r="3" spans="1:33" ht="30" customHeight="1" thickBot="1" x14ac:dyDescent="0.3">
      <c r="A3" s="146" t="s">
        <v>670</v>
      </c>
      <c r="B3" s="146" t="s">
        <v>1178</v>
      </c>
      <c r="C3" s="135" t="s">
        <v>1116</v>
      </c>
      <c r="D3" s="117" t="s">
        <v>1126</v>
      </c>
      <c r="E3" s="118"/>
      <c r="F3" s="118"/>
      <c r="G3" s="118"/>
      <c r="H3" s="121"/>
      <c r="I3" s="117" t="s">
        <v>1141</v>
      </c>
      <c r="J3" s="118"/>
      <c r="K3" s="118"/>
      <c r="L3" s="118"/>
      <c r="M3" s="118"/>
      <c r="N3" s="119" t="s">
        <v>1173</v>
      </c>
      <c r="O3" s="118"/>
      <c r="P3" s="118"/>
      <c r="Q3" s="118"/>
      <c r="R3" s="120"/>
      <c r="S3" s="135" t="s">
        <v>1116</v>
      </c>
      <c r="T3" s="119" t="s">
        <v>1128</v>
      </c>
      <c r="U3" s="118"/>
      <c r="V3" s="118"/>
      <c r="W3" s="118"/>
      <c r="X3" s="120"/>
    </row>
    <row r="4" spans="1:33" ht="30" customHeight="1" thickTop="1" thickBot="1" x14ac:dyDescent="0.3">
      <c r="A4" s="147"/>
      <c r="B4" s="14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9" t="s">
        <v>1180</v>
      </c>
      <c r="B5" s="13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30"/>
      <c r="B6" s="13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0"/>
      <c r="B7" s="13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30"/>
      <c r="B8" s="13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31"/>
      <c r="B9" s="13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2" t="s">
        <v>1192</v>
      </c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6"/>
    </row>
    <row r="12" spans="1:33" ht="25.5" customHeight="1" thickBot="1" x14ac:dyDescent="0.3">
      <c r="A12" s="63"/>
      <c r="C12" s="125" t="s">
        <v>1135</v>
      </c>
      <c r="D12" s="118" t="s">
        <v>1136</v>
      </c>
      <c r="E12" s="118"/>
      <c r="F12" s="118"/>
      <c r="G12" s="118"/>
      <c r="H12" s="121"/>
      <c r="I12" s="117" t="s">
        <v>1141</v>
      </c>
      <c r="J12" s="118"/>
      <c r="K12" s="118"/>
      <c r="L12" s="118"/>
      <c r="M12" s="118"/>
      <c r="N12" s="119" t="s">
        <v>1173</v>
      </c>
      <c r="O12" s="118"/>
      <c r="P12" s="118"/>
      <c r="Q12" s="118"/>
      <c r="R12" s="120"/>
    </row>
    <row r="13" spans="1:33" ht="25.5" customHeight="1" thickTop="1" thickBot="1" x14ac:dyDescent="0.3">
      <c r="A13" s="63"/>
      <c r="C13" s="12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2</v>
      </c>
      <c r="F22" s="16">
        <v>12</v>
      </c>
      <c r="G22" s="16">
        <v>6</v>
      </c>
      <c r="H22" s="17">
        <f>SUM(D22:G22)</f>
        <v>20</v>
      </c>
      <c r="I22" s="16">
        <v>0</v>
      </c>
      <c r="J22" s="16">
        <v>9</v>
      </c>
      <c r="K22" s="16">
        <v>184</v>
      </c>
      <c r="L22" s="16">
        <v>2</v>
      </c>
      <c r="M22" s="17">
        <f>SUM(I22:L22)</f>
        <v>195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2</v>
      </c>
      <c r="F23" s="56">
        <v>12</v>
      </c>
      <c r="G23" s="56">
        <v>6</v>
      </c>
      <c r="H23" s="60">
        <f>SUM(H14:H22)</f>
        <v>20</v>
      </c>
      <c r="I23" s="56">
        <v>0</v>
      </c>
      <c r="J23" s="56">
        <v>9</v>
      </c>
      <c r="K23" s="56">
        <v>184</v>
      </c>
      <c r="L23" s="56">
        <v>2</v>
      </c>
      <c r="M23" s="60">
        <f>SUM(M14:M22)</f>
        <v>195</v>
      </c>
      <c r="N23" s="56">
        <v>0</v>
      </c>
      <c r="O23" s="56">
        <v>0</v>
      </c>
      <c r="P23" s="56">
        <v>0</v>
      </c>
      <c r="Q23" s="56">
        <v>0</v>
      </c>
      <c r="R23" s="57">
        <f>SUM(R14:R22)</f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3" t="s">
        <v>1191</v>
      </c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5"/>
    </row>
    <row r="26" spans="1:27" ht="24.75" customHeight="1" thickBot="1" x14ac:dyDescent="0.3">
      <c r="C26" s="138"/>
      <c r="D26" s="118" t="s">
        <v>1136</v>
      </c>
      <c r="E26" s="118"/>
      <c r="F26" s="118"/>
      <c r="G26" s="118"/>
      <c r="H26" s="121"/>
      <c r="I26" s="117" t="s">
        <v>1141</v>
      </c>
      <c r="J26" s="118"/>
      <c r="K26" s="118"/>
      <c r="L26" s="118"/>
      <c r="M26" s="118"/>
      <c r="N26" s="119" t="s">
        <v>1173</v>
      </c>
      <c r="O26" s="118"/>
      <c r="P26" s="118"/>
      <c r="Q26" s="118"/>
      <c r="R26" s="120"/>
    </row>
    <row r="27" spans="1:27" ht="21.75" customHeight="1" thickTop="1" thickBot="1" x14ac:dyDescent="0.3">
      <c r="C27" s="139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9" t="s">
        <v>1190</v>
      </c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1"/>
    </row>
    <row r="32" spans="1:27" ht="32.25" customHeight="1" thickBot="1" x14ac:dyDescent="0.3">
      <c r="A32" s="127" t="s">
        <v>670</v>
      </c>
      <c r="B32" s="114" t="s">
        <v>1132</v>
      </c>
      <c r="C32" s="43" t="s">
        <v>1116</v>
      </c>
      <c r="D32" s="122" t="s">
        <v>1126</v>
      </c>
      <c r="E32" s="123"/>
      <c r="F32" s="123"/>
      <c r="G32" s="123"/>
      <c r="H32" s="124"/>
      <c r="I32" s="122" t="s">
        <v>1127</v>
      </c>
      <c r="J32" s="123"/>
      <c r="K32" s="123"/>
      <c r="L32" s="123"/>
      <c r="M32" s="124"/>
      <c r="N32" s="122" t="s">
        <v>1173</v>
      </c>
      <c r="O32" s="123"/>
      <c r="P32" s="123"/>
      <c r="Q32" s="123"/>
      <c r="R32" s="124"/>
      <c r="S32" s="122" t="s">
        <v>1128</v>
      </c>
      <c r="T32" s="123"/>
      <c r="U32" s="123"/>
      <c r="V32" s="123"/>
      <c r="W32" s="137"/>
    </row>
    <row r="33" spans="1:40" ht="32.1" customHeight="1" thickTop="1" thickBot="1" x14ac:dyDescent="0.3">
      <c r="A33" s="12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3" t="s">
        <v>1180</v>
      </c>
      <c r="B34" s="140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93"/>
      <c r="Y34" s="193"/>
      <c r="Z34" s="193"/>
      <c r="AA34" s="193"/>
      <c r="AB34" s="193"/>
      <c r="AC34" s="192"/>
      <c r="AD34" s="193"/>
      <c r="AE34" s="193"/>
      <c r="AF34" s="193"/>
      <c r="AG34" s="193"/>
      <c r="AH34" s="192"/>
      <c r="AI34" s="193"/>
      <c r="AJ34" s="193"/>
      <c r="AK34" s="193"/>
      <c r="AL34" s="193"/>
      <c r="AM34" s="192"/>
    </row>
    <row r="35" spans="1:40" ht="30" customHeight="1" thickBot="1" x14ac:dyDescent="0.3">
      <c r="A35" s="144"/>
      <c r="B35" s="141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93"/>
      <c r="Y35" s="193"/>
      <c r="Z35" s="193"/>
      <c r="AA35" s="193"/>
      <c r="AB35" s="193"/>
      <c r="AC35" s="192"/>
      <c r="AD35" s="193"/>
      <c r="AE35" s="193"/>
      <c r="AF35" s="193"/>
      <c r="AG35" s="193"/>
      <c r="AH35" s="192"/>
      <c r="AI35" s="193"/>
      <c r="AJ35" s="193"/>
      <c r="AK35" s="193"/>
      <c r="AL35" s="193"/>
      <c r="AM35" s="192"/>
    </row>
    <row r="36" spans="1:40" ht="30" customHeight="1" thickBot="1" x14ac:dyDescent="0.3">
      <c r="A36" s="144"/>
      <c r="B36" s="141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93"/>
      <c r="Y36" s="193"/>
      <c r="Z36" s="193"/>
      <c r="AA36" s="193"/>
      <c r="AB36" s="193"/>
      <c r="AC36" s="192"/>
      <c r="AD36" s="193"/>
      <c r="AE36" s="193"/>
      <c r="AF36" s="193"/>
      <c r="AG36" s="193"/>
      <c r="AH36" s="192"/>
      <c r="AI36" s="193"/>
      <c r="AJ36" s="193"/>
      <c r="AK36" s="193"/>
      <c r="AL36" s="193"/>
      <c r="AM36" s="192"/>
    </row>
    <row r="37" spans="1:40" ht="30" customHeight="1" thickBot="1" x14ac:dyDescent="0.3">
      <c r="A37" s="144"/>
      <c r="B37" s="141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93"/>
      <c r="Y37" s="193"/>
      <c r="Z37" s="193"/>
      <c r="AA37" s="193"/>
      <c r="AB37" s="193"/>
      <c r="AC37" s="192"/>
      <c r="AD37" s="193"/>
      <c r="AE37" s="193"/>
      <c r="AF37" s="193"/>
      <c r="AG37" s="193"/>
      <c r="AH37" s="192"/>
      <c r="AI37" s="193"/>
      <c r="AJ37" s="193"/>
      <c r="AK37" s="193"/>
      <c r="AL37" s="193"/>
      <c r="AM37" s="192"/>
    </row>
    <row r="38" spans="1:40" ht="30" customHeight="1" thickBot="1" x14ac:dyDescent="0.3">
      <c r="A38" s="144"/>
      <c r="B38" s="141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4"/>
      <c r="B39" s="141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4"/>
      <c r="B40" s="141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4"/>
      <c r="B41" s="141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4"/>
      <c r="B42" s="141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4"/>
      <c r="B43" s="141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4"/>
      <c r="B44" s="141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4"/>
      <c r="B45" s="141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4"/>
      <c r="B46" s="141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4"/>
      <c r="B47" s="141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5"/>
      <c r="B48" s="142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9" sqref="E19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1188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1193</v>
      </c>
      <c r="V1" s="101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>
        <v>286</v>
      </c>
      <c r="V2" s="102" t="s">
        <v>0</v>
      </c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>
        <v>290</v>
      </c>
      <c r="V3" s="102" t="s">
        <v>1</v>
      </c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>
        <v>262</v>
      </c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>
        <v>259</v>
      </c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>
        <v>285</v>
      </c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>
        <v>283</v>
      </c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>
        <v>265</v>
      </c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>
        <v>290</v>
      </c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>
        <v>257</v>
      </c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>
        <v>257</v>
      </c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>
        <v>256</v>
      </c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>
        <v>251</v>
      </c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>
        <v>301</v>
      </c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>
        <v>271</v>
      </c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>
        <v>301</v>
      </c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>
        <v>286</v>
      </c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>
        <v>284</v>
      </c>
      <c r="W18">
        <v>42770</v>
      </c>
      <c r="X18">
        <v>42816</v>
      </c>
      <c r="Y18">
        <v>42816</v>
      </c>
    </row>
    <row r="19" spans="1:25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>
        <v>255</v>
      </c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>
        <v>284</v>
      </c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>
        <v>271</v>
      </c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>
        <v>261</v>
      </c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>
        <v>269</v>
      </c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>
        <v>284</v>
      </c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>
        <v>269</v>
      </c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>
        <v>307</v>
      </c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>
        <v>265</v>
      </c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>
        <v>321</v>
      </c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>
        <v>264</v>
      </c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>
        <v>285</v>
      </c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>
        <v>262</v>
      </c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>
        <v>285</v>
      </c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>
        <v>286</v>
      </c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>
        <v>269</v>
      </c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>
        <v>265</v>
      </c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>
        <v>291</v>
      </c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>
        <v>291</v>
      </c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>
        <v>282</v>
      </c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>
        <v>282</v>
      </c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>
        <v>286</v>
      </c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>
        <v>269</v>
      </c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>
        <v>284</v>
      </c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>
        <v>285</v>
      </c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>
        <v>285</v>
      </c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>
        <v>262</v>
      </c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>
        <v>285</v>
      </c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>
        <v>263</v>
      </c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>
        <v>285</v>
      </c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>
        <v>286</v>
      </c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>
        <v>266</v>
      </c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>
        <v>262</v>
      </c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>
        <v>262</v>
      </c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>
        <v>291</v>
      </c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>
        <v>270</v>
      </c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>
        <v>269</v>
      </c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>
        <v>282</v>
      </c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>
        <v>254</v>
      </c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>
        <v>281</v>
      </c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>
        <v>254</v>
      </c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>
        <v>254</v>
      </c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>
        <v>284</v>
      </c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>
        <v>254</v>
      </c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>
        <v>276</v>
      </c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>
        <v>278</v>
      </c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>
        <v>286</v>
      </c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>
        <v>286</v>
      </c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>
        <v>286</v>
      </c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>
        <v>292</v>
      </c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>
        <v>292</v>
      </c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>
        <v>283</v>
      </c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>
        <v>283</v>
      </c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>
        <v>309</v>
      </c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>
        <v>276</v>
      </c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>
        <v>276</v>
      </c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>
        <v>254</v>
      </c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>
        <v>285</v>
      </c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>
        <v>263</v>
      </c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>
        <v>285</v>
      </c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>
        <v>263</v>
      </c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>
        <v>280</v>
      </c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>
        <v>263</v>
      </c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>
        <v>263</v>
      </c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>
        <v>253</v>
      </c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>
        <v>253</v>
      </c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>
        <v>282</v>
      </c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>
        <v>254</v>
      </c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>
        <v>282</v>
      </c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>
        <v>286</v>
      </c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>
        <v>286</v>
      </c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>
        <v>285</v>
      </c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>
        <v>285</v>
      </c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>
        <v>285</v>
      </c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>
        <v>275</v>
      </c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>
        <v>284</v>
      </c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>
        <v>256</v>
      </c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>
        <v>284</v>
      </c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>
        <v>264</v>
      </c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>
        <v>272</v>
      </c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>
        <v>285</v>
      </c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>
        <v>285</v>
      </c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>
        <v>282</v>
      </c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>
        <v>256</v>
      </c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>
        <v>281</v>
      </c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>
        <v>266</v>
      </c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>
        <v>293</v>
      </c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>
        <v>266</v>
      </c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>
        <v>293</v>
      </c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>
        <v>285</v>
      </c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>
        <v>252</v>
      </c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>
        <v>285</v>
      </c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>
        <v>252</v>
      </c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>
        <v>267</v>
      </c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>
        <v>285</v>
      </c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>
        <v>265</v>
      </c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>
        <v>255</v>
      </c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>
        <v>285</v>
      </c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>
        <v>273</v>
      </c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>
        <v>290</v>
      </c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>
        <v>273</v>
      </c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>
        <v>264</v>
      </c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>
        <v>284</v>
      </c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>
        <v>263</v>
      </c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>
        <v>285</v>
      </c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>
        <v>265</v>
      </c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>
        <v>283</v>
      </c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>
        <v>264</v>
      </c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>
        <v>251</v>
      </c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>
        <v>287</v>
      </c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>
        <v>269</v>
      </c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>
        <v>281</v>
      </c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>
        <v>269</v>
      </c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>
        <v>281</v>
      </c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>
        <v>269</v>
      </c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>
        <v>284</v>
      </c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>
        <v>272</v>
      </c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>
        <v>274</v>
      </c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>
        <v>274</v>
      </c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>
        <v>272</v>
      </c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>
        <v>274</v>
      </c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>
        <v>257</v>
      </c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>
        <v>295</v>
      </c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>
        <v>274</v>
      </c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>
        <v>274</v>
      </c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>
        <v>257</v>
      </c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>
        <v>272</v>
      </c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>
        <v>276</v>
      </c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>
        <v>271</v>
      </c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>
        <v>276</v>
      </c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>
        <v>257</v>
      </c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>
        <v>276</v>
      </c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>
        <v>283</v>
      </c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>
        <v>272</v>
      </c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>
        <v>283</v>
      </c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>
        <v>266</v>
      </c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>
        <v>289</v>
      </c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>
        <v>265</v>
      </c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>
        <v>289</v>
      </c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>
        <v>269</v>
      </c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>
        <v>289</v>
      </c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>
        <v>267</v>
      </c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>
        <v>288</v>
      </c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>
        <v>289</v>
      </c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>
        <v>257</v>
      </c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>
        <v>289</v>
      </c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>
        <v>283</v>
      </c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>
        <v>257</v>
      </c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>
        <v>284</v>
      </c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>
        <v>289</v>
      </c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>
        <v>266</v>
      </c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>
        <v>285</v>
      </c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>
        <v>258</v>
      </c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>
        <v>285</v>
      </c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>
        <v>285</v>
      </c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>
        <v>265</v>
      </c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>
        <v>265</v>
      </c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>
        <v>267</v>
      </c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>
        <v>292</v>
      </c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>
        <v>270</v>
      </c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>
        <v>269</v>
      </c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>
        <v>254</v>
      </c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>
        <v>271</v>
      </c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>
        <v>291</v>
      </c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>
        <v>270</v>
      </c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>
        <v>291</v>
      </c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>
        <v>271</v>
      </c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>
        <v>281</v>
      </c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>
        <v>270</v>
      </c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>
        <v>283</v>
      </c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>
        <v>255</v>
      </c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>
        <v>284</v>
      </c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>
        <v>255</v>
      </c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>
        <v>266</v>
      </c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>
        <v>277</v>
      </c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>
        <v>267</v>
      </c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>
        <v>286</v>
      </c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>
        <v>265</v>
      </c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>
        <v>286</v>
      </c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>
        <v>258</v>
      </c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>
        <v>277</v>
      </c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>
        <v>257</v>
      </c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>
        <v>276</v>
      </c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>
        <v>265</v>
      </c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>
        <v>261</v>
      </c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>
        <v>265</v>
      </c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>
        <v>263</v>
      </c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>
        <v>268</v>
      </c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>
        <v>268</v>
      </c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>
        <v>262</v>
      </c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>
        <v>262</v>
      </c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>
        <v>262</v>
      </c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>
        <v>268</v>
      </c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>
        <v>268</v>
      </c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>
        <v>288</v>
      </c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>
        <v>262</v>
      </c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>
        <v>282</v>
      </c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>
        <v>282</v>
      </c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>
        <v>282</v>
      </c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>
        <v>284</v>
      </c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>
        <v>265</v>
      </c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>
        <v>288</v>
      </c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>
        <v>285</v>
      </c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>
        <v>265</v>
      </c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>
        <v>288</v>
      </c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>
        <v>282</v>
      </c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>
        <v>278</v>
      </c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>
        <v>255</v>
      </c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>
        <v>263</v>
      </c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>
        <v>286</v>
      </c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>
        <v>263</v>
      </c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>
        <v>286</v>
      </c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>
        <v>263</v>
      </c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>
        <v>263</v>
      </c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>
        <v>263</v>
      </c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>
        <v>282</v>
      </c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>
        <v>263</v>
      </c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>
        <v>282</v>
      </c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>
        <v>263</v>
      </c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>
        <v>255</v>
      </c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>
        <v>282</v>
      </c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>
        <v>282</v>
      </c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>
        <v>282</v>
      </c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>
        <v>282</v>
      </c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>
        <v>256</v>
      </c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>
        <v>279</v>
      </c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>
        <v>258</v>
      </c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>
        <v>257</v>
      </c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>
        <v>277</v>
      </c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>
        <v>277</v>
      </c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>
        <v>258</v>
      </c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>
        <v>277</v>
      </c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>
        <v>277</v>
      </c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>
        <v>258</v>
      </c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>
        <v>257</v>
      </c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>
        <v>275</v>
      </c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>
        <v>277</v>
      </c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>
        <v>279</v>
      </c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>
        <v>255</v>
      </c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>
        <v>279</v>
      </c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>
        <v>281</v>
      </c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>
        <v>275</v>
      </c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  <c r="W279">
        <v>42781</v>
      </c>
      <c r="X279">
        <v>42781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>
        <v>278</v>
      </c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>
        <v>290</v>
      </c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>
        <v>276</v>
      </c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>
        <v>275</v>
      </c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>
        <v>270</v>
      </c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>
        <v>272</v>
      </c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>
        <v>270</v>
      </c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>
        <v>270</v>
      </c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>
        <v>268</v>
      </c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>
        <v>275</v>
      </c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>
        <v>263</v>
      </c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>
        <v>300</v>
      </c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>
        <v>299</v>
      </c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>
        <v>298</v>
      </c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>
        <v>298</v>
      </c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>
        <v>298</v>
      </c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>
        <v>265</v>
      </c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>
        <v>294</v>
      </c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>
        <v>263</v>
      </c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>
        <v>293</v>
      </c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>
        <v>288</v>
      </c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>
        <v>288</v>
      </c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>
        <v>291</v>
      </c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>
        <v>258</v>
      </c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>
        <v>289</v>
      </c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>
        <v>258</v>
      </c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W325">
        <v>42814</v>
      </c>
      <c r="X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W334">
        <v>42768</v>
      </c>
      <c r="X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>
        <v>284</v>
      </c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>
        <v>282</v>
      </c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>
        <v>270</v>
      </c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W343">
        <v>42795</v>
      </c>
      <c r="X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W345">
        <v>42797</v>
      </c>
      <c r="X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>
        <v>279</v>
      </c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>
        <v>265</v>
      </c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>
        <v>269</v>
      </c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>
        <v>279</v>
      </c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>
        <v>298</v>
      </c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>
        <v>297</v>
      </c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>
        <v>272</v>
      </c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W354">
        <v>42807</v>
      </c>
      <c r="X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>
        <v>293</v>
      </c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>
        <v>289</v>
      </c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>
        <v>265</v>
      </c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>
        <v>286</v>
      </c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>
        <v>275</v>
      </c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>
        <v>285</v>
      </c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>
        <v>285</v>
      </c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W366">
        <v>42816</v>
      </c>
      <c r="X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>
        <v>279</v>
      </c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>
        <v>272</v>
      </c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>
        <v>283</v>
      </c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W370">
        <v>42817</v>
      </c>
      <c r="X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>
        <v>279</v>
      </c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W376">
        <v>42817</v>
      </c>
      <c r="X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>
        <v>278</v>
      </c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>
        <v>278</v>
      </c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>
        <v>277</v>
      </c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>
        <v>272</v>
      </c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>
        <v>277</v>
      </c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>
        <v>275</v>
      </c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>
        <v>271</v>
      </c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>
        <v>276</v>
      </c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W393">
        <v>42814</v>
      </c>
      <c r="X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>
        <v>276</v>
      </c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>
        <v>276</v>
      </c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>
        <v>274</v>
      </c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>
        <v>272</v>
      </c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>
        <v>691</v>
      </c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>
        <v>275</v>
      </c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>
        <v>264</v>
      </c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W403">
        <v>42634</v>
      </c>
      <c r="X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>
        <v>274</v>
      </c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>
        <v>274</v>
      </c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>
        <v>263</v>
      </c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>
        <v>271</v>
      </c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>
        <v>354</v>
      </c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>
        <v>272</v>
      </c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>
        <v>328</v>
      </c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>
        <v>269</v>
      </c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>
        <v>271</v>
      </c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>
        <v>333</v>
      </c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W420">
        <v>42828</v>
      </c>
      <c r="X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W421">
        <v>42768</v>
      </c>
      <c r="X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>
        <v>272</v>
      </c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>
        <v>286</v>
      </c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>
        <v>264</v>
      </c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>
        <v>272</v>
      </c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W429">
        <v>42786</v>
      </c>
      <c r="X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>
        <v>286</v>
      </c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>
        <v>271</v>
      </c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W434">
        <v>42828</v>
      </c>
      <c r="X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>
        <v>304</v>
      </c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>
        <v>269</v>
      </c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>
        <v>311</v>
      </c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>
        <v>264</v>
      </c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>
        <v>300</v>
      </c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>
        <v>270</v>
      </c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>
        <v>310</v>
      </c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>
        <v>271</v>
      </c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>
        <v>307</v>
      </c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>
        <v>286</v>
      </c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>
        <v>271</v>
      </c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>
        <v>271</v>
      </c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W447">
        <v>42793</v>
      </c>
      <c r="X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>
        <v>271</v>
      </c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>
        <v>305</v>
      </c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>
        <v>270</v>
      </c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W451">
        <v>42795</v>
      </c>
      <c r="X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>
        <v>270</v>
      </c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W453">
        <v>42795</v>
      </c>
      <c r="X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>
        <v>286</v>
      </c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>
        <v>270</v>
      </c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>
        <v>304</v>
      </c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>
        <v>270</v>
      </c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>
        <v>303</v>
      </c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>
        <v>269</v>
      </c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>
        <v>303</v>
      </c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>
        <v>270</v>
      </c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>
        <v>303</v>
      </c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>
        <v>258</v>
      </c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>
        <v>303</v>
      </c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>
        <v>269</v>
      </c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>
        <v>270</v>
      </c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W469">
        <v>42797</v>
      </c>
      <c r="X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>
        <v>268</v>
      </c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W471">
        <v>42797</v>
      </c>
      <c r="X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>
        <v>270</v>
      </c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W473">
        <v>42797</v>
      </c>
      <c r="X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>
        <v>268</v>
      </c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>
        <v>264</v>
      </c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>
        <v>269</v>
      </c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>
        <v>300</v>
      </c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>
        <v>297</v>
      </c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>
        <v>269</v>
      </c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>
        <v>298</v>
      </c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>
        <v>268</v>
      </c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>
        <v>299</v>
      </c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>
        <v>269</v>
      </c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>
        <v>298</v>
      </c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W487">
        <v>42831</v>
      </c>
      <c r="X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>
        <v>298</v>
      </c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>
        <v>269</v>
      </c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>
        <v>268</v>
      </c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>
        <v>298</v>
      </c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>
        <v>263</v>
      </c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>
        <v>297</v>
      </c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>
        <v>269</v>
      </c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>
        <v>268</v>
      </c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>
        <v>290</v>
      </c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>
        <v>262</v>
      </c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W500">
        <v>42803</v>
      </c>
      <c r="X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W501">
        <v>42803</v>
      </c>
      <c r="X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>
        <v>297</v>
      </c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>
        <v>264</v>
      </c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>
        <v>264</v>
      </c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>
        <v>296</v>
      </c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>
        <v>268</v>
      </c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>
        <v>293</v>
      </c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>
        <v>291</v>
      </c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>
        <v>268</v>
      </c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>
        <v>296</v>
      </c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>
        <v>267</v>
      </c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>
        <v>295</v>
      </c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>
        <v>296</v>
      </c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>
        <v>264</v>
      </c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>
        <v>296</v>
      </c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>
        <v>294</v>
      </c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>
        <v>295</v>
      </c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>
        <v>258</v>
      </c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>
        <v>264</v>
      </c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>
        <v>265</v>
      </c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W524">
        <v>42807</v>
      </c>
      <c r="X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W525">
        <v>42807</v>
      </c>
      <c r="X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>
        <v>293</v>
      </c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>
        <v>265</v>
      </c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>
        <v>292</v>
      </c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>
        <v>293</v>
      </c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>
        <v>292</v>
      </c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>
        <v>293</v>
      </c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W533">
        <v>42835</v>
      </c>
      <c r="X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>
        <v>292</v>
      </c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>
        <v>291</v>
      </c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>
        <v>292</v>
      </c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>
        <v>292</v>
      </c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>
        <v>293</v>
      </c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>
        <v>292</v>
      </c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>
        <v>264</v>
      </c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>
        <v>263</v>
      </c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>
        <v>290</v>
      </c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W546">
        <v>42808</v>
      </c>
      <c r="X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>
        <v>290</v>
      </c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>
        <v>264</v>
      </c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>
        <v>292</v>
      </c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>
        <v>257</v>
      </c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>
        <v>285</v>
      </c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>
        <v>257</v>
      </c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>
        <v>286</v>
      </c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>
        <v>264</v>
      </c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>
        <v>291</v>
      </c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>
        <v>262</v>
      </c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>
        <v>291</v>
      </c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>
        <v>263</v>
      </c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>
        <v>289</v>
      </c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>
        <v>290</v>
      </c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>
        <v>290</v>
      </c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>
        <v>284</v>
      </c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>
        <v>289</v>
      </c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>
        <v>263</v>
      </c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>
        <v>290</v>
      </c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>
        <v>263</v>
      </c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>
        <v>290</v>
      </c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>
        <v>258</v>
      </c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>
        <v>289</v>
      </c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>
        <v>254</v>
      </c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>
        <v>289</v>
      </c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>
        <v>262</v>
      </c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>
        <v>262</v>
      </c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>
        <v>290</v>
      </c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>
        <v>286</v>
      </c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>
        <v>288</v>
      </c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>
        <v>288</v>
      </c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>
        <v>261</v>
      </c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>
        <v>288</v>
      </c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>
        <v>261</v>
      </c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>
        <v>282</v>
      </c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>
        <v>260</v>
      </c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W596">
        <v>42814</v>
      </c>
      <c r="X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>
        <v>282</v>
      </c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>
        <v>285</v>
      </c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>
        <v>285</v>
      </c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>
        <v>286</v>
      </c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>
        <v>285</v>
      </c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>
        <v>284</v>
      </c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>
        <v>284</v>
      </c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>
        <v>284</v>
      </c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>
        <v>284</v>
      </c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W611">
        <v>42816</v>
      </c>
      <c r="X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>
        <v>279</v>
      </c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>
        <v>284</v>
      </c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>
        <v>284</v>
      </c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>
        <v>284</v>
      </c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>
        <v>283</v>
      </c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W619">
        <v>42817</v>
      </c>
      <c r="X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>
        <v>283</v>
      </c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W623">
        <v>42817</v>
      </c>
      <c r="X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>
        <v>279</v>
      </c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>
        <v>282</v>
      </c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>
        <v>279</v>
      </c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>
        <v>281</v>
      </c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>
        <v>278</v>
      </c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>
        <v>279</v>
      </c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>
        <v>275</v>
      </c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W634">
        <v>42822</v>
      </c>
      <c r="X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W636">
        <v>42822</v>
      </c>
      <c r="X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>
        <v>276</v>
      </c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W640">
        <v>42823</v>
      </c>
      <c r="X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>
        <v>276</v>
      </c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>
        <v>275</v>
      </c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W648">
        <v>42824</v>
      </c>
      <c r="X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>
        <v>274</v>
      </c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W651">
        <v>42825</v>
      </c>
      <c r="X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>
        <v>275</v>
      </c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>
        <v>275</v>
      </c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W656">
        <v>42825</v>
      </c>
      <c r="X656">
        <v>42826</v>
      </c>
    </row>
    <row r="657" spans="1:24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W657">
        <v>42827</v>
      </c>
      <c r="X657">
        <v>42827</v>
      </c>
    </row>
    <row r="658" spans="1:24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W658">
        <v>42828</v>
      </c>
      <c r="X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2018-01-16T11:27:20Z</dcterms:modified>
</cp:coreProperties>
</file>